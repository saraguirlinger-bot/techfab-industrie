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tation entreprise" sheetId="1" state="visible" r:id="rId1"/>
    <sheet xmlns:r="http://schemas.openxmlformats.org/officeDocument/2006/relationships" name="SWOT_PESTEL" sheetId="2" state="visible" r:id="rId2"/>
    <sheet xmlns:r="http://schemas.openxmlformats.org/officeDocument/2006/relationships" name="Hypothèses" sheetId="3" state="visible" r:id="rId3"/>
    <sheet xmlns:r="http://schemas.openxmlformats.org/officeDocument/2006/relationships" name="Budget_Ventes" sheetId="4" state="visible" r:id="rId4"/>
    <sheet xmlns:r="http://schemas.openxmlformats.org/officeDocument/2006/relationships" name="Budget_Production" sheetId="5" state="visible" r:id="rId5"/>
    <sheet xmlns:r="http://schemas.openxmlformats.org/officeDocument/2006/relationships" name="Budget_Appro" sheetId="6" state="visible" r:id="rId6"/>
    <sheet xmlns:r="http://schemas.openxmlformats.org/officeDocument/2006/relationships" name="Budget_Trésorerie" sheetId="7" state="visible" r:id="rId7"/>
    <sheet xmlns:r="http://schemas.openxmlformats.org/officeDocument/2006/relationships" name="Réel_Écarts" sheetId="8" state="visible" r:id="rId8"/>
    <sheet xmlns:r="http://schemas.openxmlformats.org/officeDocument/2006/relationships" name="Foreca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&quot; j&quot;"/>
    <numFmt numFmtId="166" formatCode="#,##0 €"/>
  </numFmts>
  <fonts count="2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b val="1"/>
      <color rgb="00FFFFFF"/>
      <sz val="11"/>
    </font>
    <font>
      <b val="1"/>
      <sz val="14"/>
    </font>
    <font>
      <name val="Calibri"/>
      <color rgb="001A1A1A"/>
      <sz val="10"/>
    </font>
    <font>
      <name val="Calibri"/>
      <b val="1"/>
      <color rgb="000000FF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0000FF"/>
      <sz val="10"/>
    </font>
    <font>
      <name val="Calibri"/>
      <b val="1"/>
      <color rgb="004D7A52"/>
      <sz val="10"/>
    </font>
    <font>
      <name val="Calibri"/>
      <b val="1"/>
      <color rgb="00FFFFFF"/>
      <sz val="11"/>
    </font>
    <font>
      <name val="Calibri"/>
      <b val="1"/>
      <color rgb="00E07A2E"/>
      <sz val="10"/>
    </font>
    <font>
      <name val="Calibri"/>
      <b val="1"/>
      <color rgb="00C0392B"/>
      <sz val="10"/>
    </font>
    <font>
      <name val="Calibri"/>
      <b val="1"/>
      <color rgb="002952A0"/>
      <sz val="10"/>
    </font>
    <font>
      <name val="Calibri"/>
      <color rgb="00C0392B"/>
      <sz val="10"/>
    </font>
    <font>
      <name val="Calibri"/>
      <color rgb="00E07A2E"/>
      <sz val="10"/>
    </font>
    <font>
      <name val="Calibri"/>
      <color rgb="00F2F2F2"/>
      <sz val="10"/>
    </font>
    <font>
      <name val="Calibri"/>
      <b val="1"/>
      <color rgb="00F2F2F2"/>
      <sz val="10"/>
    </font>
    <font>
      <name val="Calibri"/>
      <b val="1"/>
      <color rgb="00C0392B"/>
      <sz val="11"/>
    </font>
    <font>
      <name val="Calibri"/>
      <i val="1"/>
      <color rgb="00C0392B"/>
      <sz val="9"/>
    </font>
  </fonts>
  <fills count="1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F2F2F2"/>
      </patternFill>
    </fill>
    <fill>
      <patternFill patternType="solid">
        <fgColor rgb="002C52A0"/>
      </patternFill>
    </fill>
    <fill>
      <patternFill patternType="solid">
        <fgColor rgb="001A1A1A"/>
      </patternFill>
    </fill>
    <fill>
      <patternFill patternType="solid">
        <fgColor rgb="002D4A30"/>
      </patternFill>
    </fill>
    <fill>
      <patternFill patternType="solid">
        <fgColor rgb="00E8F2E9"/>
      </patternFill>
    </fill>
    <fill>
      <patternFill patternType="solid">
        <fgColor rgb="004D7A52"/>
      </patternFill>
    </fill>
    <fill>
      <patternFill patternType="solid">
        <fgColor rgb="007A6A10"/>
      </patternFill>
    </fill>
    <fill>
      <patternFill patternType="solid">
        <fgColor rgb="00FFF8F0"/>
      </patternFill>
    </fill>
    <fill>
      <patternFill patternType="solid">
        <fgColor rgb="00FFF0E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4" borderId="0" pivotButton="0" quotePrefix="0" xfId="0"/>
    <xf numFmtId="0" fontId="4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4" fillId="5" borderId="1" pivotButton="0" quotePrefix="0" xfId="0"/>
    <xf numFmtId="0" fontId="0" fillId="6" borderId="1" pivotButton="0" quotePrefix="0" xfId="0"/>
    <xf numFmtId="164" fontId="6" fillId="7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/>
    </xf>
    <xf numFmtId="0" fontId="8" fillId="10" borderId="0" pivotButton="0" quotePrefix="0" xfId="0"/>
    <xf numFmtId="0" fontId="9" fillId="11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center" vertical="center"/>
    </xf>
    <xf numFmtId="3" fontId="10" fillId="9" borderId="0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12" fillId="13" borderId="1" applyAlignment="1" pivotButton="0" quotePrefix="0" xfId="0">
      <alignment horizontal="right" vertical="center"/>
    </xf>
    <xf numFmtId="166" fontId="12" fillId="13" borderId="0" applyAlignment="1" pivotButton="0" quotePrefix="0" xfId="0">
      <alignment horizontal="right" vertical="center"/>
    </xf>
    <xf numFmtId="166" fontId="13" fillId="12" borderId="1" applyAlignment="1" pivotButton="0" quotePrefix="0" xfId="0">
      <alignment horizontal="right"/>
    </xf>
    <xf numFmtId="166" fontId="13" fillId="12" borderId="0" applyAlignment="1" pivotButton="0" quotePrefix="0" xfId="0">
      <alignment horizontal="right"/>
    </xf>
    <xf numFmtId="0" fontId="8" fillId="14" borderId="0" pivotButton="0" quotePrefix="0" xfId="0"/>
    <xf numFmtId="0" fontId="8" fillId="15" borderId="0" pivotButton="0" quotePrefix="0" xfId="0"/>
    <xf numFmtId="0" fontId="8" fillId="12" borderId="0" pivotButton="0" quotePrefix="0" xfId="0"/>
    <xf numFmtId="166" fontId="14" fillId="16" borderId="1" applyAlignment="1" pivotButton="0" quotePrefix="0" xfId="0">
      <alignment horizontal="right" vertical="center"/>
    </xf>
    <xf numFmtId="166" fontId="14" fillId="16" borderId="0" applyAlignment="1" pivotButton="0" quotePrefix="0" xfId="0">
      <alignment horizontal="right" vertical="center"/>
    </xf>
    <xf numFmtId="166" fontId="10" fillId="7" borderId="1" applyAlignment="1" pivotButton="0" quotePrefix="0" xfId="0">
      <alignment horizontal="right" vertical="center"/>
    </xf>
    <xf numFmtId="166" fontId="10" fillId="7" borderId="0" applyAlignment="1" pivotButton="0" quotePrefix="0" xfId="0">
      <alignment horizontal="right" vertical="center"/>
    </xf>
    <xf numFmtId="166" fontId="15" fillId="17" borderId="1" applyAlignment="1" pivotButton="0" quotePrefix="0" xfId="0">
      <alignment horizontal="right" vertical="center"/>
    </xf>
    <xf numFmtId="166" fontId="15" fillId="17" borderId="0" applyAlignment="1" pivotButton="0" quotePrefix="0" xfId="0">
      <alignment horizontal="right" vertical="center"/>
    </xf>
    <xf numFmtId="166" fontId="16" fillId="13" borderId="1" applyAlignment="1" pivotButton="0" quotePrefix="0" xfId="0">
      <alignment horizontal="right" vertical="center"/>
    </xf>
    <xf numFmtId="166" fontId="16" fillId="13" borderId="0" applyAlignment="1" pivotButton="0" quotePrefix="0" xfId="0">
      <alignment horizontal="right" vertical="center"/>
    </xf>
    <xf numFmtId="166" fontId="10" fillId="9" borderId="1" applyAlignment="1" pivotButton="0" quotePrefix="0" xfId="0">
      <alignment horizontal="right" vertical="center"/>
    </xf>
    <xf numFmtId="166" fontId="10" fillId="9" borderId="0" applyAlignment="1" pivotButton="0" quotePrefix="0" xfId="0">
      <alignment horizontal="right" vertical="center"/>
    </xf>
    <xf numFmtId="166" fontId="17" fillId="17" borderId="1" applyAlignment="1" pivotButton="0" quotePrefix="0" xfId="0">
      <alignment horizontal="right" vertical="center"/>
    </xf>
    <xf numFmtId="166" fontId="18" fillId="16" borderId="1" applyAlignment="1" pivotButton="0" quotePrefix="0" xfId="0">
      <alignment horizontal="right" vertical="center"/>
    </xf>
    <xf numFmtId="166" fontId="6" fillId="9" borderId="1" applyAlignment="1" pivotButton="0" quotePrefix="0" xfId="0">
      <alignment horizontal="right" vertical="center"/>
    </xf>
    <xf numFmtId="166" fontId="6" fillId="7" borderId="1" applyAlignment="1" pivotButton="0" quotePrefix="0" xfId="0">
      <alignment horizontal="right" vertical="center"/>
    </xf>
    <xf numFmtId="166" fontId="19" fillId="7" borderId="1" applyAlignment="1" pivotButton="0" quotePrefix="0" xfId="0">
      <alignment horizontal="right" vertical="center"/>
    </xf>
    <xf numFmtId="166" fontId="20" fillId="7" borderId="0" applyAlignment="1" pivotButton="0" quotePrefix="0" xfId="0">
      <alignment horizontal="right" vertical="center"/>
    </xf>
    <xf numFmtId="166" fontId="21" fillId="17" borderId="1" applyAlignment="1" pivotButton="0" quotePrefix="0" xfId="0">
      <alignment horizontal="right"/>
    </xf>
    <xf numFmtId="166" fontId="21" fillId="17" borderId="0" applyAlignment="1" pivotButton="0" quotePrefix="0" xfId="0">
      <alignment horizontal="right"/>
    </xf>
    <xf numFmtId="166" fontId="15" fillId="17" borderId="1" applyAlignment="1" pivotButton="0" quotePrefix="0" xfId="0">
      <alignment horizontal="right"/>
    </xf>
    <xf numFmtId="164" fontId="15" fillId="17" borderId="1" applyAlignment="1" pivotButton="0" quotePrefix="0" xfId="0">
      <alignment horizontal="center"/>
    </xf>
    <xf numFmtId="166" fontId="12" fillId="13" borderId="1" applyAlignment="1" pivotButton="0" quotePrefix="0" xfId="0">
      <alignment horizontal="right"/>
    </xf>
    <xf numFmtId="164" fontId="12" fillId="13" borderId="1" applyAlignment="1" pivotButton="0" quotePrefix="0" xfId="0">
      <alignment horizontal="center"/>
    </xf>
    <xf numFmtId="0" fontId="22" fillId="0" borderId="0" pivotButton="0" quotePrefix="0" xfId="0"/>
    <xf numFmtId="0" fontId="13" fillId="10" borderId="0" pivotButton="0" quotePrefix="0" xfId="0"/>
    <xf numFmtId="0" fontId="13" fillId="14" borderId="0" pivotButton="0" quotePrefix="0" xfId="0"/>
    <xf numFmtId="0" fontId="13" fillId="15" borderId="0" pivotButton="0" quotePrefix="0" xfId="0"/>
    <xf numFmtId="0" fontId="13" fillId="12" borderId="0" pivotButton="0" quotePrefix="0" xfId="0"/>
    <xf numFmtId="166" fontId="19" fillId="9" borderId="1" applyAlignment="1" pivotButton="0" quotePrefix="0" xfId="0">
      <alignment horizontal="right" vertical="center"/>
    </xf>
    <xf numFmtId="166" fontId="15" fillId="1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166" fontId="17" fillId="16" borderId="1" applyAlignment="1" pivotButton="0" quotePrefix="0" xfId="0">
      <alignment horizontal="right" vertical="center"/>
    </xf>
    <xf numFmtId="0" fontId="9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TECHFAB INDUSTRIE – Présentation de l’entreprise</t>
        </is>
      </c>
    </row>
    <row r="3">
      <c r="A3" s="8" t="inlineStr">
        <is>
          <t>Historique</t>
        </is>
      </c>
      <c r="B3" s="9" t="inlineStr">
        <is>
          <t>PME industrielle créée en 2008 spécialisée dans le mobilier professionnel B2B.</t>
        </is>
      </c>
    </row>
    <row r="4">
      <c r="A4" s="8" t="inlineStr">
        <is>
          <t>Positionnement</t>
        </is>
      </c>
      <c r="B4" s="9" t="inlineStr">
        <is>
          <t>Entreprise reconnue pour sa qualité produit et son SAV.</t>
        </is>
      </c>
    </row>
    <row r="5">
      <c r="A5" s="8" t="inlineStr">
        <is>
          <t>Marché</t>
        </is>
      </c>
      <c r="B5" s="9" t="inlineStr">
        <is>
          <t>Clients PME, collectivités et espaces de coworking.</t>
        </is>
      </c>
    </row>
    <row r="6">
      <c r="A6" s="8" t="inlineStr">
        <is>
          <t>Problématiques actuelles</t>
        </is>
      </c>
      <c r="B6" s="9" t="inlineStr">
        <is>
          <t>Hausse des coûts matières, tensions de trésorerie et capacité machine limitée.</t>
        </is>
      </c>
    </row>
    <row r="10">
      <c r="A10" s="10" t="inlineStr">
        <is>
          <t>BILAN SIMPLIFIÉ</t>
        </is>
      </c>
    </row>
    <row r="11">
      <c r="A11" s="11" t="inlineStr">
        <is>
          <t>ACTIF</t>
        </is>
      </c>
      <c r="B11" s="11" t="inlineStr">
        <is>
          <t>Montant</t>
        </is>
      </c>
      <c r="C11" s="11" t="inlineStr">
        <is>
          <t>PASSIF</t>
        </is>
      </c>
      <c r="D11" s="11" t="inlineStr">
        <is>
          <t>Montant</t>
        </is>
      </c>
    </row>
    <row r="12">
      <c r="A12" s="6" t="inlineStr">
        <is>
          <t>Immobilisations</t>
        </is>
      </c>
      <c r="B12" s="6" t="n">
        <v>350000</v>
      </c>
      <c r="C12" s="6" t="inlineStr">
        <is>
          <t>Capitaux propres</t>
        </is>
      </c>
      <c r="D12" s="6" t="n">
        <v>220000</v>
      </c>
    </row>
    <row r="13">
      <c r="A13" s="6" t="inlineStr">
        <is>
          <t>Stocks</t>
        </is>
      </c>
      <c r="B13" s="6" t="n">
        <v>90000</v>
      </c>
      <c r="C13" s="6" t="inlineStr">
        <is>
          <t>Dettes financières</t>
        </is>
      </c>
      <c r="D13" s="6" t="n">
        <v>140000</v>
      </c>
    </row>
    <row r="14">
      <c r="A14" s="6" t="inlineStr">
        <is>
          <t>Créances clients</t>
        </is>
      </c>
      <c r="B14" s="6" t="n">
        <v>110000</v>
      </c>
      <c r="C14" s="6" t="inlineStr">
        <is>
          <t>Dettes fournisseurs</t>
        </is>
      </c>
      <c r="D14" s="6" t="n">
        <v>85000</v>
      </c>
    </row>
    <row r="15">
      <c r="A15" s="6" t="inlineStr">
        <is>
          <t>Trésorerie</t>
        </is>
      </c>
      <c r="B15" s="6" t="n">
        <v>15000</v>
      </c>
      <c r="C15" s="6" t="inlineStr">
        <is>
          <t>Découvert bancaire</t>
        </is>
      </c>
      <c r="D15" s="6" t="n">
        <v>120000</v>
      </c>
    </row>
    <row r="18">
      <c r="A18" s="10" t="inlineStr">
        <is>
          <t>COMPTE DE RÉSULTAT</t>
        </is>
      </c>
    </row>
    <row r="19">
      <c r="A19" s="11" t="inlineStr">
        <is>
          <t>Élément</t>
        </is>
      </c>
      <c r="B19" s="11" t="inlineStr">
        <is>
          <t>Montant</t>
        </is>
      </c>
    </row>
    <row r="20">
      <c r="A20" s="6" t="inlineStr">
        <is>
          <t>Chiffre d'affaires</t>
        </is>
      </c>
      <c r="B20" s="6" t="n">
        <v>1250000</v>
      </c>
    </row>
    <row r="21">
      <c r="A21" s="6" t="inlineStr">
        <is>
          <t>Achats consommés</t>
        </is>
      </c>
      <c r="B21" s="6" t="n">
        <v>-620000</v>
      </c>
    </row>
    <row r="22">
      <c r="A22" s="6" t="inlineStr">
        <is>
          <t>Charges personnel</t>
        </is>
      </c>
      <c r="B22" s="6" t="n">
        <v>-320000</v>
      </c>
    </row>
    <row r="23">
      <c r="A23" s="6" t="inlineStr">
        <is>
          <t>Charges externes</t>
        </is>
      </c>
      <c r="B23" s="6" t="n">
        <v>-140000</v>
      </c>
    </row>
    <row r="24">
      <c r="A24" s="6" t="inlineStr">
        <is>
          <t>Résultat d'exploitation</t>
        </is>
      </c>
      <c r="B24" s="6" t="n">
        <v>170000</v>
      </c>
    </row>
    <row r="25">
      <c r="A25" s="6" t="inlineStr">
        <is>
          <t>Résultat net</t>
        </is>
      </c>
      <c r="B25" s="6" t="n">
        <v>85000</v>
      </c>
    </row>
    <row r="28">
      <c r="A28" s="10" t="inlineStr">
        <is>
          <t>SIG – SOLDES INTERMÉDIAIRES DE GESTION</t>
        </is>
      </c>
    </row>
    <row r="29">
      <c r="A29" s="11" t="inlineStr">
        <is>
          <t>Indicateur</t>
        </is>
      </c>
      <c r="B29" s="11" t="inlineStr">
        <is>
          <t>Montant</t>
        </is>
      </c>
      <c r="C29" s="11" t="inlineStr">
        <is>
          <t>Analyse</t>
        </is>
      </c>
    </row>
    <row r="30">
      <c r="A30" s="6" t="inlineStr">
        <is>
          <t>Marge commerciale</t>
        </is>
      </c>
      <c r="B30" s="6" t="n">
        <v>420000</v>
      </c>
      <c r="C30" s="6" t="inlineStr">
        <is>
          <t>Bonne dynamique commerciale</t>
        </is>
      </c>
    </row>
    <row r="31">
      <c r="A31" s="6" t="inlineStr">
        <is>
          <t>Valeur ajoutée</t>
        </is>
      </c>
      <c r="B31" s="6" t="n">
        <v>310000</v>
      </c>
      <c r="C31" s="6" t="inlineStr">
        <is>
          <t>Pression sur les charges</t>
        </is>
      </c>
    </row>
    <row r="32">
      <c r="A32" s="6" t="inlineStr">
        <is>
          <t>EBE</t>
        </is>
      </c>
      <c r="B32" s="6" t="n">
        <v>180000</v>
      </c>
      <c r="C32" s="6" t="inlineStr">
        <is>
          <t>Rentabilité correcte mais fragile</t>
        </is>
      </c>
    </row>
    <row r="33">
      <c r="A33" s="6" t="inlineStr">
        <is>
          <t>Résultat exploitation</t>
        </is>
      </c>
      <c r="B33" s="6" t="n">
        <v>170000</v>
      </c>
      <c r="C33" s="6" t="inlineStr">
        <is>
          <t>Sensibilité aux coûts énergie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ANALYSE SWOT</t>
        </is>
      </c>
    </row>
    <row r="3">
      <c r="A3" s="8" t="inlineStr">
        <is>
          <t>Forces – Avantages internes de l’entreprise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10">
      <c r="A10" s="8" t="inlineStr">
        <is>
          <t>Faiblesses – Limites internes impactant la performance</t>
        </is>
      </c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7">
      <c r="A17" s="8" t="inlineStr">
        <is>
          <t>Opportunités – Éléments externes favorables</t>
        </is>
      </c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4">
      <c r="A24" s="8" t="inlineStr">
        <is>
          <t>Menaces – Risques externes pour l’entreprise</t>
        </is>
      </c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3">
      <c r="A33" s="1" t="inlineStr">
        <is>
          <t>ANALYSE PESTEL</t>
        </is>
      </c>
    </row>
    <row r="35">
      <c r="A35" s="8" t="inlineStr">
        <is>
          <t>Politique – Décisions publiques et réglementation</t>
        </is>
      </c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1">
      <c r="A41" s="8" t="inlineStr">
        <is>
          <t>Économique – Inflation, taux, croissance</t>
        </is>
      </c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7">
      <c r="A47" s="8" t="inlineStr">
        <is>
          <t>Sociologique – Évolution des attentes clients</t>
        </is>
      </c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3">
      <c r="A53" s="8" t="inlineStr">
        <is>
          <t>Technologique – Digitalisation et innovation</t>
        </is>
      </c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9">
      <c r="A59" s="8" t="inlineStr">
        <is>
          <t>Écologique – Normes environnementales</t>
        </is>
      </c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5">
      <c r="A65" s="8" t="inlineStr">
        <is>
          <t>Légal – Contraintes juridiques</t>
        </is>
      </c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</sheetData>
  <mergeCells count="10">
    <mergeCell ref="A17:D17"/>
    <mergeCell ref="A53:D53"/>
    <mergeCell ref="A35:D35"/>
    <mergeCell ref="A3:D3"/>
    <mergeCell ref="A59:D59"/>
    <mergeCell ref="A65:D65"/>
    <mergeCell ref="A24:D24"/>
    <mergeCell ref="A41:D41"/>
    <mergeCell ref="A10:D10"/>
    <mergeCell ref="A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SCÉNARIOS BUDGÉTAIRES</t>
        </is>
      </c>
    </row>
    <row r="3">
      <c r="A3" s="2" t="inlineStr">
        <is>
          <t>Variable</t>
        </is>
      </c>
      <c r="B3" s="13" t="n">
        <v>0.02</v>
      </c>
      <c r="C3" s="13" t="n">
        <v>0.05</v>
      </c>
      <c r="D3" s="13" t="n">
        <v>0.1</v>
      </c>
      <c r="E3" s="14" t="n">
        <v>0.07000000000000001</v>
      </c>
    </row>
    <row r="4">
      <c r="A4" s="6" t="inlineStr">
        <is>
          <t>Croissance ventes</t>
        </is>
      </c>
      <c r="B4" s="15" t="n">
        <v>0.1</v>
      </c>
      <c r="C4" s="15" t="n">
        <v>0.06</v>
      </c>
      <c r="D4" s="15" t="n">
        <v>0.03</v>
      </c>
      <c r="E4" s="14" t="n">
        <v>0.055</v>
      </c>
    </row>
    <row r="5">
      <c r="A5" s="6" t="inlineStr">
        <is>
          <t>Inflation matières</t>
        </is>
      </c>
      <c r="B5" s="13" t="n">
        <v>0.12</v>
      </c>
      <c r="C5" s="13" t="n">
        <v>0.08</v>
      </c>
      <c r="D5" s="13" t="n">
        <v>0.04</v>
      </c>
      <c r="E5" s="14" t="n">
        <v>0.07000000000000001</v>
      </c>
    </row>
    <row r="6">
      <c r="A6" s="6" t="inlineStr">
        <is>
          <t>Hausse énergie</t>
        </is>
      </c>
      <c r="B6" s="15" t="n">
        <v>0.04</v>
      </c>
      <c r="C6" s="15" t="n">
        <v>0.03</v>
      </c>
      <c r="D6" s="15" t="n">
        <v>0.02</v>
      </c>
      <c r="E6" s="14" t="n">
        <v>0.025</v>
      </c>
    </row>
    <row r="7">
      <c r="A7" s="6" t="inlineStr">
        <is>
          <t>Hausse salaires</t>
        </is>
      </c>
      <c r="B7" s="13" t="n">
        <v>0.2</v>
      </c>
      <c r="C7" s="13" t="n">
        <v>0.2</v>
      </c>
      <c r="D7" s="13" t="n">
        <v>0.2</v>
      </c>
      <c r="E7" s="14" t="n">
        <v>0.2</v>
      </c>
    </row>
    <row r="8">
      <c r="A8" s="6" t="inlineStr">
        <is>
          <t>TVA</t>
        </is>
      </c>
      <c r="B8" s="16" t="n">
        <v>75</v>
      </c>
      <c r="C8" s="16" t="n">
        <v>75</v>
      </c>
      <c r="D8" s="16" t="n">
        <v>75</v>
      </c>
      <c r="E8" s="17" t="n">
        <v>60</v>
      </c>
    </row>
    <row r="9">
      <c r="A9" s="6" t="inlineStr">
        <is>
          <t>Délais clients</t>
        </is>
      </c>
      <c r="B9" s="6" t="n">
        <v>75</v>
      </c>
      <c r="C9" s="6" t="n">
        <v>60</v>
      </c>
      <c r="D9" s="6" t="n">
        <v>45</v>
      </c>
      <c r="E9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DES VENTES</t>
        </is>
      </c>
    </row>
    <row r="3">
      <c r="A3" s="18" t="inlineStr">
        <is>
          <t>PRUDENT</t>
        </is>
      </c>
    </row>
    <row r="4">
      <c r="A4" s="19" t="inlineStr">
        <is>
          <t>Indicateur</t>
        </is>
      </c>
      <c r="B4" s="19" t="inlineStr">
        <is>
          <t>Jan</t>
        </is>
      </c>
      <c r="C4" s="19" t="inlineStr">
        <is>
          <t>Fév</t>
        </is>
      </c>
      <c r="D4" s="19" t="inlineStr">
        <is>
          <t>Mars</t>
        </is>
      </c>
      <c r="E4" s="19" t="inlineStr">
        <is>
          <t>Avr</t>
        </is>
      </c>
      <c r="F4" s="19" t="inlineStr">
        <is>
          <t>Mai</t>
        </is>
      </c>
      <c r="G4" s="19" t="inlineStr">
        <is>
          <t>Juin</t>
        </is>
      </c>
      <c r="H4" s="19" t="inlineStr">
        <is>
          <t>Juil</t>
        </is>
      </c>
      <c r="I4" s="19" t="inlineStr">
        <is>
          <t>Août</t>
        </is>
      </c>
      <c r="J4" s="19" t="inlineStr">
        <is>
          <t>Sep</t>
        </is>
      </c>
      <c r="K4" s="19" t="inlineStr">
        <is>
          <t>Oct</t>
        </is>
      </c>
      <c r="L4" s="19" t="inlineStr">
        <is>
          <t>Nov</t>
        </is>
      </c>
      <c r="M4" s="19" t="inlineStr">
        <is>
          <t>Déc</t>
        </is>
      </c>
      <c r="N4" s="20" t="inlineStr">
        <is>
          <t>TOTAL</t>
        </is>
      </c>
    </row>
    <row r="5">
      <c r="A5" s="5" t="inlineStr">
        <is>
          <t>Volumes Produit A</t>
        </is>
      </c>
      <c r="B5" s="21" t="n">
        <v>29</v>
      </c>
      <c r="C5" s="21" t="n">
        <v>29</v>
      </c>
      <c r="D5" s="21" t="n">
        <v>33</v>
      </c>
      <c r="E5" s="21" t="n">
        <v>41</v>
      </c>
      <c r="F5" s="21" t="n">
        <v>41</v>
      </c>
      <c r="G5" s="21" t="n">
        <v>41</v>
      </c>
      <c r="H5" s="21" t="n">
        <v>24</v>
      </c>
      <c r="I5" s="21" t="n">
        <v>29</v>
      </c>
      <c r="J5" s="21" t="n">
        <v>29</v>
      </c>
      <c r="K5" s="21" t="n">
        <v>37</v>
      </c>
      <c r="L5" s="21" t="n">
        <v>37</v>
      </c>
      <c r="M5" s="21" t="n">
        <v>41</v>
      </c>
      <c r="N5" s="22" t="n">
        <v>411</v>
      </c>
    </row>
    <row r="6">
      <c r="A6" s="5" t="inlineStr">
        <is>
          <t>Prix Produit A</t>
        </is>
      </c>
      <c r="B6" s="23" t="n">
        <v>580</v>
      </c>
      <c r="C6" s="23" t="n">
        <v>580</v>
      </c>
      <c r="D6" s="23" t="n">
        <v>580</v>
      </c>
      <c r="E6" s="23" t="n">
        <v>580</v>
      </c>
      <c r="F6" s="23" t="n">
        <v>580</v>
      </c>
      <c r="G6" s="23" t="n">
        <v>580</v>
      </c>
      <c r="H6" s="23" t="n">
        <v>580</v>
      </c>
      <c r="I6" s="23" t="n">
        <v>580</v>
      </c>
      <c r="J6" s="23" t="n">
        <v>580</v>
      </c>
      <c r="K6" s="23" t="n">
        <v>580</v>
      </c>
      <c r="L6" s="23" t="n">
        <v>580</v>
      </c>
      <c r="M6" s="23" t="n">
        <v>580</v>
      </c>
      <c r="N6" s="24" t="n">
        <v>580</v>
      </c>
    </row>
    <row r="7">
      <c r="A7" s="5" t="inlineStr">
        <is>
          <t>CA Produit A</t>
        </is>
      </c>
      <c r="B7" s="25" t="n">
        <v>16820</v>
      </c>
      <c r="C7" s="25" t="n">
        <v>16820</v>
      </c>
      <c r="D7" s="25" t="n">
        <v>19140</v>
      </c>
      <c r="E7" s="25" t="n">
        <v>23780</v>
      </c>
      <c r="F7" s="25" t="n">
        <v>23780</v>
      </c>
      <c r="G7" s="25" t="n">
        <v>23780</v>
      </c>
      <c r="H7" s="25" t="n">
        <v>13920</v>
      </c>
      <c r="I7" s="25" t="n">
        <v>16820</v>
      </c>
      <c r="J7" s="25" t="n">
        <v>16820</v>
      </c>
      <c r="K7" s="25" t="n">
        <v>21460</v>
      </c>
      <c r="L7" s="25" t="n">
        <v>21460</v>
      </c>
      <c r="M7" s="25" t="n">
        <v>23780</v>
      </c>
      <c r="N7" s="26" t="n">
        <v>238380</v>
      </c>
    </row>
    <row r="8">
      <c r="A8" s="5" t="inlineStr">
        <is>
          <t>Volumes Produit B</t>
        </is>
      </c>
      <c r="B8" s="21" t="n">
        <v>46</v>
      </c>
      <c r="C8" s="21" t="n">
        <v>46</v>
      </c>
      <c r="D8" s="21" t="n">
        <v>53</v>
      </c>
      <c r="E8" s="21" t="n">
        <v>66</v>
      </c>
      <c r="F8" s="21" t="n">
        <v>66</v>
      </c>
      <c r="G8" s="21" t="n">
        <v>66</v>
      </c>
      <c r="H8" s="21" t="n">
        <v>40</v>
      </c>
      <c r="I8" s="21" t="n">
        <v>46</v>
      </c>
      <c r="J8" s="21" t="n">
        <v>46</v>
      </c>
      <c r="K8" s="21" t="n">
        <v>60</v>
      </c>
      <c r="L8" s="21" t="n">
        <v>60</v>
      </c>
      <c r="M8" s="21" t="n">
        <v>66</v>
      </c>
      <c r="N8" s="22" t="n">
        <v>661</v>
      </c>
    </row>
    <row r="9">
      <c r="A9" s="5" t="inlineStr">
        <is>
          <t>Prix Produit B</t>
        </is>
      </c>
      <c r="B9" s="23" t="n">
        <v>320</v>
      </c>
      <c r="C9" s="23" t="n">
        <v>320</v>
      </c>
      <c r="D9" s="23" t="n">
        <v>320</v>
      </c>
      <c r="E9" s="23" t="n">
        <v>320</v>
      </c>
      <c r="F9" s="23" t="n">
        <v>320</v>
      </c>
      <c r="G9" s="23" t="n">
        <v>320</v>
      </c>
      <c r="H9" s="23" t="n">
        <v>320</v>
      </c>
      <c r="I9" s="23" t="n">
        <v>320</v>
      </c>
      <c r="J9" s="23" t="n">
        <v>320</v>
      </c>
      <c r="K9" s="23" t="n">
        <v>320</v>
      </c>
      <c r="L9" s="23" t="n">
        <v>320</v>
      </c>
      <c r="M9" s="23" t="n">
        <v>320</v>
      </c>
      <c r="N9" s="24" t="n">
        <v>320</v>
      </c>
    </row>
    <row r="10">
      <c r="A10" s="5" t="inlineStr">
        <is>
          <t>CA Produit B</t>
        </is>
      </c>
      <c r="B10" s="25" t="n">
        <v>14720</v>
      </c>
      <c r="C10" s="25" t="n">
        <v>14720</v>
      </c>
      <c r="D10" s="25" t="n">
        <v>16960</v>
      </c>
      <c r="E10" s="25" t="n">
        <v>21120</v>
      </c>
      <c r="F10" s="25" t="n">
        <v>21120</v>
      </c>
      <c r="G10" s="25" t="n">
        <v>21120</v>
      </c>
      <c r="H10" s="25" t="n">
        <v>12800</v>
      </c>
      <c r="I10" s="25" t="n">
        <v>14720</v>
      </c>
      <c r="J10" s="25" t="n">
        <v>14720</v>
      </c>
      <c r="K10" s="25" t="n">
        <v>19200</v>
      </c>
      <c r="L10" s="25" t="n">
        <v>19200</v>
      </c>
      <c r="M10" s="25" t="n">
        <v>21120</v>
      </c>
      <c r="N10" s="26" t="n">
        <v>211520</v>
      </c>
    </row>
    <row r="11">
      <c r="A11" s="5" t="inlineStr">
        <is>
          <t>Volumes Produit C</t>
        </is>
      </c>
      <c r="B11" s="21" t="n">
        <v>12</v>
      </c>
      <c r="C11" s="21" t="n">
        <v>12</v>
      </c>
      <c r="D11" s="21" t="n">
        <v>14</v>
      </c>
      <c r="E11" s="21" t="n">
        <v>18</v>
      </c>
      <c r="F11" s="21" t="n">
        <v>18</v>
      </c>
      <c r="G11" s="21" t="n">
        <v>18</v>
      </c>
      <c r="H11" s="21" t="n">
        <v>11</v>
      </c>
      <c r="I11" s="21" t="n">
        <v>12</v>
      </c>
      <c r="J11" s="21" t="n">
        <v>12</v>
      </c>
      <c r="K11" s="21" t="n">
        <v>16</v>
      </c>
      <c r="L11" s="21" t="n">
        <v>16</v>
      </c>
      <c r="M11" s="21" t="n">
        <v>18</v>
      </c>
      <c r="N11" s="22" t="n">
        <v>177</v>
      </c>
    </row>
    <row r="12">
      <c r="A12" s="5" t="inlineStr">
        <is>
          <t>Prix Produit C</t>
        </is>
      </c>
      <c r="B12" s="23" t="n">
        <v>890</v>
      </c>
      <c r="C12" s="23" t="n">
        <v>890</v>
      </c>
      <c r="D12" s="23" t="n">
        <v>890</v>
      </c>
      <c r="E12" s="23" t="n">
        <v>890</v>
      </c>
      <c r="F12" s="23" t="n">
        <v>890</v>
      </c>
      <c r="G12" s="23" t="n">
        <v>890</v>
      </c>
      <c r="H12" s="23" t="n">
        <v>890</v>
      </c>
      <c r="I12" s="23" t="n">
        <v>890</v>
      </c>
      <c r="J12" s="23" t="n">
        <v>890</v>
      </c>
      <c r="K12" s="23" t="n">
        <v>890</v>
      </c>
      <c r="L12" s="23" t="n">
        <v>890</v>
      </c>
      <c r="M12" s="23" t="n">
        <v>890</v>
      </c>
      <c r="N12" s="24" t="n">
        <v>890</v>
      </c>
    </row>
    <row r="13">
      <c r="A13" s="5" t="inlineStr">
        <is>
          <t>CA Produit C</t>
        </is>
      </c>
      <c r="B13" s="25" t="n">
        <v>10680</v>
      </c>
      <c r="C13" s="25" t="n">
        <v>10680</v>
      </c>
      <c r="D13" s="25" t="n">
        <v>12460</v>
      </c>
      <c r="E13" s="25" t="n">
        <v>16020</v>
      </c>
      <c r="F13" s="25" t="n">
        <v>16020</v>
      </c>
      <c r="G13" s="25" t="n">
        <v>16020</v>
      </c>
      <c r="H13" s="25" t="n">
        <v>9790</v>
      </c>
      <c r="I13" s="25" t="n">
        <v>10680</v>
      </c>
      <c r="J13" s="25" t="n">
        <v>10680</v>
      </c>
      <c r="K13" s="25" t="n">
        <v>14240</v>
      </c>
      <c r="L13" s="25" t="n">
        <v>14240</v>
      </c>
      <c r="M13" s="25" t="n">
        <v>16020</v>
      </c>
      <c r="N13" s="26" t="n">
        <v>157530</v>
      </c>
    </row>
    <row r="14">
      <c r="A14" s="5" t="inlineStr">
        <is>
          <t>TOTAL CA</t>
        </is>
      </c>
      <c r="B14" s="27" t="n">
        <v>42220</v>
      </c>
      <c r="C14" s="27" t="n">
        <v>42220</v>
      </c>
      <c r="D14" s="27" t="n">
        <v>48560</v>
      </c>
      <c r="E14" s="27" t="n">
        <v>60920</v>
      </c>
      <c r="F14" s="27" t="n">
        <v>60920</v>
      </c>
      <c r="G14" s="27" t="n">
        <v>60920</v>
      </c>
      <c r="H14" s="27" t="n">
        <v>36510</v>
      </c>
      <c r="I14" s="27" t="n">
        <v>42220</v>
      </c>
      <c r="J14" s="27" t="n">
        <v>42220</v>
      </c>
      <c r="K14" s="27" t="n">
        <v>54900</v>
      </c>
      <c r="L14" s="27" t="n">
        <v>54900</v>
      </c>
      <c r="M14" s="27" t="n">
        <v>60920</v>
      </c>
      <c r="N14" s="28" t="n">
        <v>607430</v>
      </c>
    </row>
    <row r="17">
      <c r="A17" s="29" t="inlineStr">
        <is>
          <t>RÉALISTE</t>
        </is>
      </c>
    </row>
    <row r="18">
      <c r="A18" s="19" t="inlineStr">
        <is>
          <t>Indicateur</t>
        </is>
      </c>
      <c r="B18" s="19" t="inlineStr">
        <is>
          <t>Jan</t>
        </is>
      </c>
      <c r="C18" s="19" t="inlineStr">
        <is>
          <t>Fév</t>
        </is>
      </c>
      <c r="D18" s="19" t="inlineStr">
        <is>
          <t>Mars</t>
        </is>
      </c>
      <c r="E18" s="19" t="inlineStr">
        <is>
          <t>Avr</t>
        </is>
      </c>
      <c r="F18" s="19" t="inlineStr">
        <is>
          <t>Mai</t>
        </is>
      </c>
      <c r="G18" s="19" t="inlineStr">
        <is>
          <t>Juin</t>
        </is>
      </c>
      <c r="H18" s="19" t="inlineStr">
        <is>
          <t>Juil</t>
        </is>
      </c>
      <c r="I18" s="19" t="inlineStr">
        <is>
          <t>Août</t>
        </is>
      </c>
      <c r="J18" s="19" t="inlineStr">
        <is>
          <t>Sep</t>
        </is>
      </c>
      <c r="K18" s="19" t="inlineStr">
        <is>
          <t>Oct</t>
        </is>
      </c>
      <c r="L18" s="19" t="inlineStr">
        <is>
          <t>Nov</t>
        </is>
      </c>
      <c r="M18" s="19" t="inlineStr">
        <is>
          <t>Déc</t>
        </is>
      </c>
      <c r="N18" s="20" t="inlineStr">
        <is>
          <t>TOTAL</t>
        </is>
      </c>
    </row>
    <row r="19">
      <c r="A19" s="5" t="inlineStr">
        <is>
          <t>Volumes Produit A</t>
        </is>
      </c>
      <c r="B19" s="21" t="n">
        <v>29</v>
      </c>
      <c r="C19" s="21" t="n">
        <v>29</v>
      </c>
      <c r="D19" s="21" t="n">
        <v>34</v>
      </c>
      <c r="E19" s="21" t="n">
        <v>42</v>
      </c>
      <c r="F19" s="21" t="n">
        <v>42</v>
      </c>
      <c r="G19" s="21" t="n">
        <v>42</v>
      </c>
      <c r="H19" s="21" t="n">
        <v>25</v>
      </c>
      <c r="I19" s="21" t="n">
        <v>29</v>
      </c>
      <c r="J19" s="21" t="n">
        <v>29</v>
      </c>
      <c r="K19" s="21" t="n">
        <v>38</v>
      </c>
      <c r="L19" s="21" t="n">
        <v>38</v>
      </c>
      <c r="M19" s="21" t="n">
        <v>42</v>
      </c>
      <c r="N19" s="22" t="n">
        <v>419</v>
      </c>
    </row>
    <row r="20">
      <c r="A20" s="5" t="inlineStr">
        <is>
          <t>Prix Produit A</t>
        </is>
      </c>
      <c r="B20" s="23" t="n">
        <v>580</v>
      </c>
      <c r="C20" s="23" t="n">
        <v>580</v>
      </c>
      <c r="D20" s="23" t="n">
        <v>580</v>
      </c>
      <c r="E20" s="23" t="n">
        <v>580</v>
      </c>
      <c r="F20" s="23" t="n">
        <v>580</v>
      </c>
      <c r="G20" s="23" t="n">
        <v>580</v>
      </c>
      <c r="H20" s="23" t="n">
        <v>580</v>
      </c>
      <c r="I20" s="23" t="n">
        <v>580</v>
      </c>
      <c r="J20" s="23" t="n">
        <v>580</v>
      </c>
      <c r="K20" s="23" t="n">
        <v>580</v>
      </c>
      <c r="L20" s="23" t="n">
        <v>580</v>
      </c>
      <c r="M20" s="23" t="n">
        <v>580</v>
      </c>
      <c r="N20" s="24" t="n">
        <v>580</v>
      </c>
    </row>
    <row r="21">
      <c r="A21" s="5" t="inlineStr">
        <is>
          <t>CA Produit A</t>
        </is>
      </c>
      <c r="B21" s="25" t="n">
        <v>16820</v>
      </c>
      <c r="C21" s="25" t="n">
        <v>16820</v>
      </c>
      <c r="D21" s="25" t="n">
        <v>19720</v>
      </c>
      <c r="E21" s="25" t="n">
        <v>24360</v>
      </c>
      <c r="F21" s="25" t="n">
        <v>24360</v>
      </c>
      <c r="G21" s="25" t="n">
        <v>24360</v>
      </c>
      <c r="H21" s="25" t="n">
        <v>14500</v>
      </c>
      <c r="I21" s="25" t="n">
        <v>16820</v>
      </c>
      <c r="J21" s="25" t="n">
        <v>16820</v>
      </c>
      <c r="K21" s="25" t="n">
        <v>22040</v>
      </c>
      <c r="L21" s="25" t="n">
        <v>22040</v>
      </c>
      <c r="M21" s="25" t="n">
        <v>24360</v>
      </c>
      <c r="N21" s="26" t="n">
        <v>243020</v>
      </c>
    </row>
    <row r="22">
      <c r="A22" s="5" t="inlineStr">
        <is>
          <t>Volumes Produit B</t>
        </is>
      </c>
      <c r="B22" s="21" t="n">
        <v>48</v>
      </c>
      <c r="C22" s="21" t="n">
        <v>48</v>
      </c>
      <c r="D22" s="21" t="n">
        <v>55</v>
      </c>
      <c r="E22" s="21" t="n">
        <v>68</v>
      </c>
      <c r="F22" s="21" t="n">
        <v>68</v>
      </c>
      <c r="G22" s="21" t="n">
        <v>68</v>
      </c>
      <c r="H22" s="21" t="n">
        <v>41</v>
      </c>
      <c r="I22" s="21" t="n">
        <v>48</v>
      </c>
      <c r="J22" s="21" t="n">
        <v>48</v>
      </c>
      <c r="K22" s="21" t="n">
        <v>61</v>
      </c>
      <c r="L22" s="21" t="n">
        <v>61</v>
      </c>
      <c r="M22" s="21" t="n">
        <v>68</v>
      </c>
      <c r="N22" s="22" t="n">
        <v>682</v>
      </c>
    </row>
    <row r="23">
      <c r="A23" s="5" t="inlineStr">
        <is>
          <t>Prix Produit B</t>
        </is>
      </c>
      <c r="B23" s="23" t="n">
        <v>320</v>
      </c>
      <c r="C23" s="23" t="n">
        <v>320</v>
      </c>
      <c r="D23" s="23" t="n">
        <v>320</v>
      </c>
      <c r="E23" s="23" t="n">
        <v>320</v>
      </c>
      <c r="F23" s="23" t="n">
        <v>320</v>
      </c>
      <c r="G23" s="23" t="n">
        <v>320</v>
      </c>
      <c r="H23" s="23" t="n">
        <v>320</v>
      </c>
      <c r="I23" s="23" t="n">
        <v>320</v>
      </c>
      <c r="J23" s="23" t="n">
        <v>320</v>
      </c>
      <c r="K23" s="23" t="n">
        <v>320</v>
      </c>
      <c r="L23" s="23" t="n">
        <v>320</v>
      </c>
      <c r="M23" s="23" t="n">
        <v>320</v>
      </c>
      <c r="N23" s="24" t="n">
        <v>320</v>
      </c>
    </row>
    <row r="24">
      <c r="A24" s="5" t="inlineStr">
        <is>
          <t>CA Produit B</t>
        </is>
      </c>
      <c r="B24" s="25" t="n">
        <v>15360</v>
      </c>
      <c r="C24" s="25" t="n">
        <v>15360</v>
      </c>
      <c r="D24" s="25" t="n">
        <v>17600</v>
      </c>
      <c r="E24" s="25" t="n">
        <v>21760</v>
      </c>
      <c r="F24" s="25" t="n">
        <v>21760</v>
      </c>
      <c r="G24" s="25" t="n">
        <v>21760</v>
      </c>
      <c r="H24" s="25" t="n">
        <v>13120</v>
      </c>
      <c r="I24" s="25" t="n">
        <v>15360</v>
      </c>
      <c r="J24" s="25" t="n">
        <v>15360</v>
      </c>
      <c r="K24" s="25" t="n">
        <v>19520</v>
      </c>
      <c r="L24" s="25" t="n">
        <v>19520</v>
      </c>
      <c r="M24" s="25" t="n">
        <v>21760</v>
      </c>
      <c r="N24" s="26" t="n">
        <v>218240</v>
      </c>
    </row>
    <row r="25">
      <c r="A25" s="5" t="inlineStr">
        <is>
          <t>Volumes Produit C</t>
        </is>
      </c>
      <c r="B25" s="21" t="n">
        <v>13</v>
      </c>
      <c r="C25" s="21" t="n">
        <v>13</v>
      </c>
      <c r="D25" s="21" t="n">
        <v>15</v>
      </c>
      <c r="E25" s="21" t="n">
        <v>18</v>
      </c>
      <c r="F25" s="21" t="n">
        <v>18</v>
      </c>
      <c r="G25" s="21" t="n">
        <v>18</v>
      </c>
      <c r="H25" s="21" t="n">
        <v>11</v>
      </c>
      <c r="I25" s="21" t="n">
        <v>13</v>
      </c>
      <c r="J25" s="21" t="n">
        <v>13</v>
      </c>
      <c r="K25" s="21" t="n">
        <v>17</v>
      </c>
      <c r="L25" s="21" t="n">
        <v>17</v>
      </c>
      <c r="M25" s="21" t="n">
        <v>18</v>
      </c>
      <c r="N25" s="22" t="n">
        <v>184</v>
      </c>
    </row>
    <row r="26">
      <c r="A26" s="5" t="inlineStr">
        <is>
          <t>Prix Produit C</t>
        </is>
      </c>
      <c r="B26" s="23" t="n">
        <v>890</v>
      </c>
      <c r="C26" s="23" t="n">
        <v>890</v>
      </c>
      <c r="D26" s="23" t="n">
        <v>890</v>
      </c>
      <c r="E26" s="23" t="n">
        <v>890</v>
      </c>
      <c r="F26" s="23" t="n">
        <v>890</v>
      </c>
      <c r="G26" s="23" t="n">
        <v>890</v>
      </c>
      <c r="H26" s="23" t="n">
        <v>890</v>
      </c>
      <c r="I26" s="23" t="n">
        <v>890</v>
      </c>
      <c r="J26" s="23" t="n">
        <v>890</v>
      </c>
      <c r="K26" s="23" t="n">
        <v>890</v>
      </c>
      <c r="L26" s="23" t="n">
        <v>890</v>
      </c>
      <c r="M26" s="23" t="n">
        <v>890</v>
      </c>
      <c r="N26" s="24" t="n">
        <v>890</v>
      </c>
    </row>
    <row r="27">
      <c r="A27" s="5" t="inlineStr">
        <is>
          <t>CA Produit C</t>
        </is>
      </c>
      <c r="B27" s="25" t="n">
        <v>11570</v>
      </c>
      <c r="C27" s="25" t="n">
        <v>11570</v>
      </c>
      <c r="D27" s="25" t="n">
        <v>13350</v>
      </c>
      <c r="E27" s="25" t="n">
        <v>16020</v>
      </c>
      <c r="F27" s="25" t="n">
        <v>16020</v>
      </c>
      <c r="G27" s="25" t="n">
        <v>16020</v>
      </c>
      <c r="H27" s="25" t="n">
        <v>9790</v>
      </c>
      <c r="I27" s="25" t="n">
        <v>11570</v>
      </c>
      <c r="J27" s="25" t="n">
        <v>11570</v>
      </c>
      <c r="K27" s="25" t="n">
        <v>15130</v>
      </c>
      <c r="L27" s="25" t="n">
        <v>15130</v>
      </c>
      <c r="M27" s="25" t="n">
        <v>16020</v>
      </c>
      <c r="N27" s="26" t="n">
        <v>163760</v>
      </c>
    </row>
    <row r="28">
      <c r="A28" s="5" t="inlineStr">
        <is>
          <t>TOTAL CA</t>
        </is>
      </c>
      <c r="B28" s="27" t="n">
        <v>43750</v>
      </c>
      <c r="C28" s="27" t="n">
        <v>43750</v>
      </c>
      <c r="D28" s="27" t="n">
        <v>50670</v>
      </c>
      <c r="E28" s="27" t="n">
        <v>62140</v>
      </c>
      <c r="F28" s="27" t="n">
        <v>62140</v>
      </c>
      <c r="G28" s="27" t="n">
        <v>62140</v>
      </c>
      <c r="H28" s="27" t="n">
        <v>37410</v>
      </c>
      <c r="I28" s="27" t="n">
        <v>43750</v>
      </c>
      <c r="J28" s="27" t="n">
        <v>43750</v>
      </c>
      <c r="K28" s="27" t="n">
        <v>56690</v>
      </c>
      <c r="L28" s="27" t="n">
        <v>56690</v>
      </c>
      <c r="M28" s="27" t="n">
        <v>62140</v>
      </c>
      <c r="N28" s="28" t="n">
        <v>625020</v>
      </c>
    </row>
    <row r="31">
      <c r="A31" s="30" t="inlineStr">
        <is>
          <t>OPTIMISTE</t>
        </is>
      </c>
    </row>
    <row r="32">
      <c r="A32" s="19" t="inlineStr">
        <is>
          <t>Indicateur</t>
        </is>
      </c>
      <c r="B32" s="19" t="inlineStr">
        <is>
          <t>Jan</t>
        </is>
      </c>
      <c r="C32" s="19" t="inlineStr">
        <is>
          <t>Fév</t>
        </is>
      </c>
      <c r="D32" s="19" t="inlineStr">
        <is>
          <t>Mars</t>
        </is>
      </c>
      <c r="E32" s="19" t="inlineStr">
        <is>
          <t>Avr</t>
        </is>
      </c>
      <c r="F32" s="19" t="inlineStr">
        <is>
          <t>Mai</t>
        </is>
      </c>
      <c r="G32" s="19" t="inlineStr">
        <is>
          <t>Juin</t>
        </is>
      </c>
      <c r="H32" s="19" t="inlineStr">
        <is>
          <t>Juil</t>
        </is>
      </c>
      <c r="I32" s="19" t="inlineStr">
        <is>
          <t>Août</t>
        </is>
      </c>
      <c r="J32" s="19" t="inlineStr">
        <is>
          <t>Sep</t>
        </is>
      </c>
      <c r="K32" s="19" t="inlineStr">
        <is>
          <t>Oct</t>
        </is>
      </c>
      <c r="L32" s="19" t="inlineStr">
        <is>
          <t>Nov</t>
        </is>
      </c>
      <c r="M32" s="19" t="inlineStr">
        <is>
          <t>Déc</t>
        </is>
      </c>
      <c r="N32" s="20" t="inlineStr">
        <is>
          <t>TOTAL</t>
        </is>
      </c>
    </row>
    <row r="33">
      <c r="A33" s="5" t="inlineStr">
        <is>
          <t>Volumes Produit A</t>
        </is>
      </c>
      <c r="B33" s="21" t="n">
        <v>31</v>
      </c>
      <c r="C33" s="21" t="n">
        <v>31</v>
      </c>
      <c r="D33" s="21" t="n">
        <v>35</v>
      </c>
      <c r="E33" s="21" t="n">
        <v>44</v>
      </c>
      <c r="F33" s="21" t="n">
        <v>44</v>
      </c>
      <c r="G33" s="21" t="n">
        <v>44</v>
      </c>
      <c r="H33" s="21" t="n">
        <v>26</v>
      </c>
      <c r="I33" s="21" t="n">
        <v>31</v>
      </c>
      <c r="J33" s="21" t="n">
        <v>31</v>
      </c>
      <c r="K33" s="21" t="n">
        <v>40</v>
      </c>
      <c r="L33" s="21" t="n">
        <v>40</v>
      </c>
      <c r="M33" s="21" t="n">
        <v>44</v>
      </c>
      <c r="N33" s="22" t="n">
        <v>441</v>
      </c>
    </row>
    <row r="34">
      <c r="A34" s="5" t="inlineStr">
        <is>
          <t>Prix Produit A</t>
        </is>
      </c>
      <c r="B34" s="23" t="n">
        <v>580</v>
      </c>
      <c r="C34" s="23" t="n">
        <v>580</v>
      </c>
      <c r="D34" s="23" t="n">
        <v>580</v>
      </c>
      <c r="E34" s="23" t="n">
        <v>580</v>
      </c>
      <c r="F34" s="23" t="n">
        <v>580</v>
      </c>
      <c r="G34" s="23" t="n">
        <v>580</v>
      </c>
      <c r="H34" s="23" t="n">
        <v>580</v>
      </c>
      <c r="I34" s="23" t="n">
        <v>580</v>
      </c>
      <c r="J34" s="23" t="n">
        <v>580</v>
      </c>
      <c r="K34" s="23" t="n">
        <v>580</v>
      </c>
      <c r="L34" s="23" t="n">
        <v>580</v>
      </c>
      <c r="M34" s="23" t="n">
        <v>580</v>
      </c>
      <c r="N34" s="24" t="n">
        <v>580</v>
      </c>
    </row>
    <row r="35">
      <c r="A35" s="5" t="inlineStr">
        <is>
          <t>CA Produit A</t>
        </is>
      </c>
      <c r="B35" s="25" t="n">
        <v>17980</v>
      </c>
      <c r="C35" s="25" t="n">
        <v>17980</v>
      </c>
      <c r="D35" s="25" t="n">
        <v>20300</v>
      </c>
      <c r="E35" s="25" t="n">
        <v>25520</v>
      </c>
      <c r="F35" s="25" t="n">
        <v>25520</v>
      </c>
      <c r="G35" s="25" t="n">
        <v>25520</v>
      </c>
      <c r="H35" s="25" t="n">
        <v>15080</v>
      </c>
      <c r="I35" s="25" t="n">
        <v>17980</v>
      </c>
      <c r="J35" s="25" t="n">
        <v>17980</v>
      </c>
      <c r="K35" s="25" t="n">
        <v>23200</v>
      </c>
      <c r="L35" s="25" t="n">
        <v>23200</v>
      </c>
      <c r="M35" s="25" t="n">
        <v>25520</v>
      </c>
      <c r="N35" s="26" t="n">
        <v>255780</v>
      </c>
    </row>
    <row r="36">
      <c r="A36" s="5" t="inlineStr">
        <is>
          <t>Volumes Produit B</t>
        </is>
      </c>
      <c r="B36" s="21" t="n">
        <v>50</v>
      </c>
      <c r="C36" s="21" t="n">
        <v>50</v>
      </c>
      <c r="D36" s="21" t="n">
        <v>57</v>
      </c>
      <c r="E36" s="21" t="n">
        <v>72</v>
      </c>
      <c r="F36" s="21" t="n">
        <v>72</v>
      </c>
      <c r="G36" s="21" t="n">
        <v>72</v>
      </c>
      <c r="H36" s="21" t="n">
        <v>43</v>
      </c>
      <c r="I36" s="21" t="n">
        <v>50</v>
      </c>
      <c r="J36" s="21" t="n">
        <v>50</v>
      </c>
      <c r="K36" s="21" t="n">
        <v>64</v>
      </c>
      <c r="L36" s="21" t="n">
        <v>64</v>
      </c>
      <c r="M36" s="21" t="n">
        <v>72</v>
      </c>
      <c r="N36" s="22" t="n">
        <v>716</v>
      </c>
    </row>
    <row r="37">
      <c r="A37" s="5" t="inlineStr">
        <is>
          <t>Prix Produit B</t>
        </is>
      </c>
      <c r="B37" s="23" t="n">
        <v>320</v>
      </c>
      <c r="C37" s="23" t="n">
        <v>320</v>
      </c>
      <c r="D37" s="23" t="n">
        <v>320</v>
      </c>
      <c r="E37" s="23" t="n">
        <v>320</v>
      </c>
      <c r="F37" s="23" t="n">
        <v>320</v>
      </c>
      <c r="G37" s="23" t="n">
        <v>320</v>
      </c>
      <c r="H37" s="23" t="n">
        <v>320</v>
      </c>
      <c r="I37" s="23" t="n">
        <v>320</v>
      </c>
      <c r="J37" s="23" t="n">
        <v>320</v>
      </c>
      <c r="K37" s="23" t="n">
        <v>320</v>
      </c>
      <c r="L37" s="23" t="n">
        <v>320</v>
      </c>
      <c r="M37" s="23" t="n">
        <v>320</v>
      </c>
      <c r="N37" s="24" t="n">
        <v>320</v>
      </c>
    </row>
    <row r="38">
      <c r="A38" s="5" t="inlineStr">
        <is>
          <t>CA Produit B</t>
        </is>
      </c>
      <c r="B38" s="25" t="n">
        <v>16000</v>
      </c>
      <c r="C38" s="25" t="n">
        <v>16000</v>
      </c>
      <c r="D38" s="25" t="n">
        <v>18240</v>
      </c>
      <c r="E38" s="25" t="n">
        <v>23040</v>
      </c>
      <c r="F38" s="25" t="n">
        <v>23040</v>
      </c>
      <c r="G38" s="25" t="n">
        <v>23040</v>
      </c>
      <c r="H38" s="25" t="n">
        <v>13760</v>
      </c>
      <c r="I38" s="25" t="n">
        <v>16000</v>
      </c>
      <c r="J38" s="25" t="n">
        <v>16000</v>
      </c>
      <c r="K38" s="25" t="n">
        <v>20480</v>
      </c>
      <c r="L38" s="25" t="n">
        <v>20480</v>
      </c>
      <c r="M38" s="25" t="n">
        <v>23040</v>
      </c>
      <c r="N38" s="26" t="n">
        <v>229120</v>
      </c>
    </row>
    <row r="39">
      <c r="A39" s="5" t="inlineStr">
        <is>
          <t>Volumes Produit C</t>
        </is>
      </c>
      <c r="B39" s="21" t="n">
        <v>13</v>
      </c>
      <c r="C39" s="21" t="n">
        <v>13</v>
      </c>
      <c r="D39" s="21" t="n">
        <v>15</v>
      </c>
      <c r="E39" s="21" t="n">
        <v>19</v>
      </c>
      <c r="F39" s="21" t="n">
        <v>19</v>
      </c>
      <c r="G39" s="21" t="n">
        <v>19</v>
      </c>
      <c r="H39" s="21" t="n">
        <v>12</v>
      </c>
      <c r="I39" s="21" t="n">
        <v>13</v>
      </c>
      <c r="J39" s="21" t="n">
        <v>13</v>
      </c>
      <c r="K39" s="21" t="n">
        <v>17</v>
      </c>
      <c r="L39" s="21" t="n">
        <v>17</v>
      </c>
      <c r="M39" s="21" t="n">
        <v>19</v>
      </c>
      <c r="N39" s="22" t="n">
        <v>189</v>
      </c>
    </row>
    <row r="40">
      <c r="A40" s="5" t="inlineStr">
        <is>
          <t>Prix Produit C</t>
        </is>
      </c>
      <c r="B40" s="23" t="n">
        <v>890</v>
      </c>
      <c r="C40" s="23" t="n">
        <v>890</v>
      </c>
      <c r="D40" s="23" t="n">
        <v>890</v>
      </c>
      <c r="E40" s="23" t="n">
        <v>890</v>
      </c>
      <c r="F40" s="23" t="n">
        <v>890</v>
      </c>
      <c r="G40" s="23" t="n">
        <v>890</v>
      </c>
      <c r="H40" s="23" t="n">
        <v>890</v>
      </c>
      <c r="I40" s="23" t="n">
        <v>890</v>
      </c>
      <c r="J40" s="23" t="n">
        <v>890</v>
      </c>
      <c r="K40" s="23" t="n">
        <v>890</v>
      </c>
      <c r="L40" s="23" t="n">
        <v>890</v>
      </c>
      <c r="M40" s="23" t="n">
        <v>890</v>
      </c>
      <c r="N40" s="24" t="n">
        <v>890</v>
      </c>
    </row>
    <row r="41">
      <c r="A41" s="5" t="inlineStr">
        <is>
          <t>CA Produit C</t>
        </is>
      </c>
      <c r="B41" s="25" t="n">
        <v>11570</v>
      </c>
      <c r="C41" s="25" t="n">
        <v>11570</v>
      </c>
      <c r="D41" s="25" t="n">
        <v>13350</v>
      </c>
      <c r="E41" s="25" t="n">
        <v>16910</v>
      </c>
      <c r="F41" s="25" t="n">
        <v>16910</v>
      </c>
      <c r="G41" s="25" t="n">
        <v>16910</v>
      </c>
      <c r="H41" s="25" t="n">
        <v>10680</v>
      </c>
      <c r="I41" s="25" t="n">
        <v>11570</v>
      </c>
      <c r="J41" s="25" t="n">
        <v>11570</v>
      </c>
      <c r="K41" s="25" t="n">
        <v>15130</v>
      </c>
      <c r="L41" s="25" t="n">
        <v>15130</v>
      </c>
      <c r="M41" s="25" t="n">
        <v>16910</v>
      </c>
      <c r="N41" s="26" t="n">
        <v>168210</v>
      </c>
    </row>
    <row r="42">
      <c r="A42" s="5" t="inlineStr">
        <is>
          <t>TOTAL CA</t>
        </is>
      </c>
      <c r="B42" s="27" t="n">
        <v>45550</v>
      </c>
      <c r="C42" s="27" t="n">
        <v>45550</v>
      </c>
      <c r="D42" s="27" t="n">
        <v>51890</v>
      </c>
      <c r="E42" s="27" t="n">
        <v>65470</v>
      </c>
      <c r="F42" s="27" t="n">
        <v>65470</v>
      </c>
      <c r="G42" s="27" t="n">
        <v>65470</v>
      </c>
      <c r="H42" s="27" t="n">
        <v>39520</v>
      </c>
      <c r="I42" s="27" t="n">
        <v>45550</v>
      </c>
      <c r="J42" s="27" t="n">
        <v>45550</v>
      </c>
      <c r="K42" s="27" t="n">
        <v>58810</v>
      </c>
      <c r="L42" s="27" t="n">
        <v>58810</v>
      </c>
      <c r="M42" s="27" t="n">
        <v>65470</v>
      </c>
      <c r="N42" s="28" t="n">
        <v>653110</v>
      </c>
    </row>
    <row r="45">
      <c r="A45" s="31" t="inlineStr">
        <is>
          <t>APPRENANT</t>
        </is>
      </c>
    </row>
    <row r="46">
      <c r="A46" s="19" t="inlineStr">
        <is>
          <t>Indicateur</t>
        </is>
      </c>
      <c r="B46" s="19" t="inlineStr">
        <is>
          <t>Jan</t>
        </is>
      </c>
      <c r="C46" s="19" t="inlineStr">
        <is>
          <t>Fév</t>
        </is>
      </c>
      <c r="D46" s="19" t="inlineStr">
        <is>
          <t>Mars</t>
        </is>
      </c>
      <c r="E46" s="19" t="inlineStr">
        <is>
          <t>Avr</t>
        </is>
      </c>
      <c r="F46" s="19" t="inlineStr">
        <is>
          <t>Mai</t>
        </is>
      </c>
      <c r="G46" s="19" t="inlineStr">
        <is>
          <t>Juin</t>
        </is>
      </c>
      <c r="H46" s="19" t="inlineStr">
        <is>
          <t>Juil</t>
        </is>
      </c>
      <c r="I46" s="19" t="inlineStr">
        <is>
          <t>Août</t>
        </is>
      </c>
      <c r="J46" s="19" t="inlineStr">
        <is>
          <t>Sep</t>
        </is>
      </c>
      <c r="K46" s="19" t="inlineStr">
        <is>
          <t>Oct</t>
        </is>
      </c>
      <c r="L46" s="19" t="inlineStr">
        <is>
          <t>Nov</t>
        </is>
      </c>
      <c r="M46" s="19" t="inlineStr">
        <is>
          <t>Déc</t>
        </is>
      </c>
      <c r="N46" s="20" t="inlineStr">
        <is>
          <t>TOTAL</t>
        </is>
      </c>
    </row>
    <row r="47">
      <c r="A47" s="5" t="inlineStr">
        <is>
          <t>Volumes Produit A</t>
        </is>
      </c>
      <c r="B47" s="21" t="n">
        <v>30</v>
      </c>
      <c r="C47" s="21" t="n">
        <v>30</v>
      </c>
      <c r="D47" s="21" t="n">
        <v>34</v>
      </c>
      <c r="E47" s="21" t="n">
        <v>43</v>
      </c>
      <c r="F47" s="21" t="n">
        <v>43</v>
      </c>
      <c r="G47" s="21" t="n">
        <v>43</v>
      </c>
      <c r="H47" s="21" t="n">
        <v>26</v>
      </c>
      <c r="I47" s="21" t="n">
        <v>30</v>
      </c>
      <c r="J47" s="21" t="n">
        <v>30</v>
      </c>
      <c r="K47" s="21" t="n">
        <v>39</v>
      </c>
      <c r="L47" s="21" t="n">
        <v>39</v>
      </c>
      <c r="M47" s="21" t="n">
        <v>43</v>
      </c>
      <c r="N47" s="22" t="n">
        <v>430</v>
      </c>
    </row>
    <row r="48">
      <c r="A48" s="5" t="inlineStr">
        <is>
          <t>Prix Produit A</t>
        </is>
      </c>
      <c r="B48" s="23" t="n">
        <v>580</v>
      </c>
      <c r="C48" s="23" t="n">
        <v>580</v>
      </c>
      <c r="D48" s="23" t="n">
        <v>580</v>
      </c>
      <c r="E48" s="23" t="n">
        <v>580</v>
      </c>
      <c r="F48" s="23" t="n">
        <v>580</v>
      </c>
      <c r="G48" s="23" t="n">
        <v>580</v>
      </c>
      <c r="H48" s="23" t="n">
        <v>580</v>
      </c>
      <c r="I48" s="23" t="n">
        <v>580</v>
      </c>
      <c r="J48" s="23" t="n">
        <v>580</v>
      </c>
      <c r="K48" s="23" t="n">
        <v>580</v>
      </c>
      <c r="L48" s="23" t="n">
        <v>580</v>
      </c>
      <c r="M48" s="23" t="n">
        <v>580</v>
      </c>
      <c r="N48" s="24" t="n">
        <v>580</v>
      </c>
    </row>
    <row r="49">
      <c r="A49" s="5" t="inlineStr">
        <is>
          <t>CA Produit A</t>
        </is>
      </c>
      <c r="B49" s="25" t="n">
        <v>17400</v>
      </c>
      <c r="C49" s="25" t="n">
        <v>17400</v>
      </c>
      <c r="D49" s="25" t="n">
        <v>19720</v>
      </c>
      <c r="E49" s="25" t="n">
        <v>24940</v>
      </c>
      <c r="F49" s="25" t="n">
        <v>24940</v>
      </c>
      <c r="G49" s="25" t="n">
        <v>24940</v>
      </c>
      <c r="H49" s="25" t="n">
        <v>15080</v>
      </c>
      <c r="I49" s="25" t="n">
        <v>17400</v>
      </c>
      <c r="J49" s="25" t="n">
        <v>17400</v>
      </c>
      <c r="K49" s="25" t="n">
        <v>22620</v>
      </c>
      <c r="L49" s="25" t="n">
        <v>22620</v>
      </c>
      <c r="M49" s="25" t="n">
        <v>24940</v>
      </c>
      <c r="N49" s="26" t="n">
        <v>249400</v>
      </c>
    </row>
    <row r="50">
      <c r="A50" s="5" t="inlineStr">
        <is>
          <t>Volumes Produit B</t>
        </is>
      </c>
      <c r="B50" s="21" t="n">
        <v>49</v>
      </c>
      <c r="C50" s="21" t="n">
        <v>49</v>
      </c>
      <c r="D50" s="21" t="n">
        <v>56</v>
      </c>
      <c r="E50" s="21" t="n">
        <v>70</v>
      </c>
      <c r="F50" s="21" t="n">
        <v>70</v>
      </c>
      <c r="G50" s="21" t="n">
        <v>70</v>
      </c>
      <c r="H50" s="21" t="n">
        <v>42</v>
      </c>
      <c r="I50" s="21" t="n">
        <v>49</v>
      </c>
      <c r="J50" s="21" t="n">
        <v>49</v>
      </c>
      <c r="K50" s="21" t="n">
        <v>63</v>
      </c>
      <c r="L50" s="21" t="n">
        <v>63</v>
      </c>
      <c r="M50" s="21" t="n">
        <v>70</v>
      </c>
      <c r="N50" s="22" t="n">
        <v>700</v>
      </c>
    </row>
    <row r="51">
      <c r="A51" s="5" t="inlineStr">
        <is>
          <t>Prix Produit B</t>
        </is>
      </c>
      <c r="B51" s="23" t="n">
        <v>320</v>
      </c>
      <c r="C51" s="23" t="n">
        <v>320</v>
      </c>
      <c r="D51" s="23" t="n">
        <v>320</v>
      </c>
      <c r="E51" s="23" t="n">
        <v>320</v>
      </c>
      <c r="F51" s="23" t="n">
        <v>320</v>
      </c>
      <c r="G51" s="23" t="n">
        <v>320</v>
      </c>
      <c r="H51" s="23" t="n">
        <v>320</v>
      </c>
      <c r="I51" s="23" t="n">
        <v>320</v>
      </c>
      <c r="J51" s="23" t="n">
        <v>320</v>
      </c>
      <c r="K51" s="23" t="n">
        <v>320</v>
      </c>
      <c r="L51" s="23" t="n">
        <v>320</v>
      </c>
      <c r="M51" s="23" t="n">
        <v>320</v>
      </c>
      <c r="N51" s="24" t="n">
        <v>320</v>
      </c>
    </row>
    <row r="52">
      <c r="A52" s="5" t="inlineStr">
        <is>
          <t>CA Produit B</t>
        </is>
      </c>
      <c r="B52" s="25" t="n">
        <v>15680</v>
      </c>
      <c r="C52" s="25" t="n">
        <v>15680</v>
      </c>
      <c r="D52" s="25" t="n">
        <v>17920</v>
      </c>
      <c r="E52" s="25" t="n">
        <v>22400</v>
      </c>
      <c r="F52" s="25" t="n">
        <v>22400</v>
      </c>
      <c r="G52" s="25" t="n">
        <v>22400</v>
      </c>
      <c r="H52" s="25" t="n">
        <v>13440</v>
      </c>
      <c r="I52" s="25" t="n">
        <v>15680</v>
      </c>
      <c r="J52" s="25" t="n">
        <v>15680</v>
      </c>
      <c r="K52" s="25" t="n">
        <v>20160</v>
      </c>
      <c r="L52" s="25" t="n">
        <v>20160</v>
      </c>
      <c r="M52" s="25" t="n">
        <v>22400</v>
      </c>
      <c r="N52" s="26" t="n">
        <v>224000</v>
      </c>
    </row>
    <row r="53">
      <c r="A53" s="5" t="inlineStr">
        <is>
          <t>Volumes Produit C</t>
        </is>
      </c>
      <c r="B53" s="21" t="n">
        <v>13</v>
      </c>
      <c r="C53" s="21" t="n">
        <v>13</v>
      </c>
      <c r="D53" s="21" t="n">
        <v>15</v>
      </c>
      <c r="E53" s="21" t="n">
        <v>19</v>
      </c>
      <c r="F53" s="21" t="n">
        <v>19</v>
      </c>
      <c r="G53" s="21" t="n">
        <v>19</v>
      </c>
      <c r="H53" s="21" t="n">
        <v>11</v>
      </c>
      <c r="I53" s="21" t="n">
        <v>13</v>
      </c>
      <c r="J53" s="21" t="n">
        <v>13</v>
      </c>
      <c r="K53" s="21" t="n">
        <v>17</v>
      </c>
      <c r="L53" s="21" t="n">
        <v>17</v>
      </c>
      <c r="M53" s="21" t="n">
        <v>19</v>
      </c>
      <c r="N53" s="22" t="n">
        <v>188</v>
      </c>
    </row>
    <row r="54">
      <c r="A54" s="5" t="inlineStr">
        <is>
          <t>Prix Produit C</t>
        </is>
      </c>
      <c r="B54" s="23" t="n">
        <v>890</v>
      </c>
      <c r="C54" s="23" t="n">
        <v>890</v>
      </c>
      <c r="D54" s="23" t="n">
        <v>890</v>
      </c>
      <c r="E54" s="23" t="n">
        <v>890</v>
      </c>
      <c r="F54" s="23" t="n">
        <v>890</v>
      </c>
      <c r="G54" s="23" t="n">
        <v>890</v>
      </c>
      <c r="H54" s="23" t="n">
        <v>890</v>
      </c>
      <c r="I54" s="23" t="n">
        <v>890</v>
      </c>
      <c r="J54" s="23" t="n">
        <v>890</v>
      </c>
      <c r="K54" s="23" t="n">
        <v>890</v>
      </c>
      <c r="L54" s="23" t="n">
        <v>890</v>
      </c>
      <c r="M54" s="23" t="n">
        <v>890</v>
      </c>
      <c r="N54" s="24" t="n">
        <v>890</v>
      </c>
    </row>
    <row r="55">
      <c r="A55" s="5" t="inlineStr">
        <is>
          <t>CA Produit C</t>
        </is>
      </c>
      <c r="B55" s="25" t="n">
        <v>11570</v>
      </c>
      <c r="C55" s="25" t="n">
        <v>11570</v>
      </c>
      <c r="D55" s="25" t="n">
        <v>13350</v>
      </c>
      <c r="E55" s="25" t="n">
        <v>16910</v>
      </c>
      <c r="F55" s="25" t="n">
        <v>16910</v>
      </c>
      <c r="G55" s="25" t="n">
        <v>16910</v>
      </c>
      <c r="H55" s="25" t="n">
        <v>9790</v>
      </c>
      <c r="I55" s="25" t="n">
        <v>11570</v>
      </c>
      <c r="J55" s="25" t="n">
        <v>11570</v>
      </c>
      <c r="K55" s="25" t="n">
        <v>15130</v>
      </c>
      <c r="L55" s="25" t="n">
        <v>15130</v>
      </c>
      <c r="M55" s="25" t="n">
        <v>16910</v>
      </c>
      <c r="N55" s="26" t="n">
        <v>167320</v>
      </c>
    </row>
    <row r="56">
      <c r="A56" s="5" t="inlineStr">
        <is>
          <t>TOTAL CA</t>
        </is>
      </c>
      <c r="B56" s="27" t="n">
        <v>44650</v>
      </c>
      <c r="C56" s="27" t="n">
        <v>44650</v>
      </c>
      <c r="D56" s="27" t="n">
        <v>50990</v>
      </c>
      <c r="E56" s="27" t="n">
        <v>64250</v>
      </c>
      <c r="F56" s="27" t="n">
        <v>64250</v>
      </c>
      <c r="G56" s="27" t="n">
        <v>64250</v>
      </c>
      <c r="H56" s="27" t="n">
        <v>38310</v>
      </c>
      <c r="I56" s="27" t="n">
        <v>44650</v>
      </c>
      <c r="J56" s="27" t="n">
        <v>44650</v>
      </c>
      <c r="K56" s="27" t="n">
        <v>57910</v>
      </c>
      <c r="L56" s="27" t="n">
        <v>57910</v>
      </c>
      <c r="M56" s="27" t="n">
        <v>64250</v>
      </c>
      <c r="N56" s="28" t="n">
        <v>640720</v>
      </c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PRODUCTION</t>
        </is>
      </c>
    </row>
    <row r="3">
      <c r="A3" s="18" t="inlineStr">
        <is>
          <t>PRUDENT</t>
        </is>
      </c>
    </row>
    <row r="4">
      <c r="A4" s="19" t="inlineStr">
        <is>
          <t>Indicateur</t>
        </is>
      </c>
      <c r="B4" s="19" t="inlineStr">
        <is>
          <t>Jan</t>
        </is>
      </c>
      <c r="C4" s="19" t="inlineStr">
        <is>
          <t>Fév</t>
        </is>
      </c>
      <c r="D4" s="19" t="inlineStr">
        <is>
          <t>Mars</t>
        </is>
      </c>
      <c r="E4" s="19" t="inlineStr">
        <is>
          <t>Avr</t>
        </is>
      </c>
      <c r="F4" s="19" t="inlineStr">
        <is>
          <t>Mai</t>
        </is>
      </c>
      <c r="G4" s="19" t="inlineStr">
        <is>
          <t>Juin</t>
        </is>
      </c>
      <c r="H4" s="19" t="inlineStr">
        <is>
          <t>Juil</t>
        </is>
      </c>
      <c r="I4" s="19" t="inlineStr">
        <is>
          <t>Août</t>
        </is>
      </c>
      <c r="J4" s="19" t="inlineStr">
        <is>
          <t>Sep</t>
        </is>
      </c>
      <c r="K4" s="19" t="inlineStr">
        <is>
          <t>Oct</t>
        </is>
      </c>
      <c r="L4" s="19" t="inlineStr">
        <is>
          <t>Nov</t>
        </is>
      </c>
      <c r="M4" s="19" t="inlineStr">
        <is>
          <t>Déc</t>
        </is>
      </c>
      <c r="N4" s="20" t="inlineStr">
        <is>
          <t>TOTAL</t>
        </is>
      </c>
    </row>
    <row r="5">
      <c r="A5" s="5" t="inlineStr">
        <is>
          <t>Production Produit A</t>
        </is>
      </c>
      <c r="B5" s="21" t="n">
        <v>29</v>
      </c>
      <c r="C5" s="21" t="n">
        <v>29</v>
      </c>
      <c r="D5" s="21" t="n">
        <v>33</v>
      </c>
      <c r="E5" s="21" t="n">
        <v>41</v>
      </c>
      <c r="F5" s="21" t="n">
        <v>41</v>
      </c>
      <c r="G5" s="21" t="n">
        <v>41</v>
      </c>
      <c r="H5" s="21" t="n">
        <v>24</v>
      </c>
      <c r="I5" s="21" t="n">
        <v>29</v>
      </c>
      <c r="J5" s="21" t="n">
        <v>29</v>
      </c>
      <c r="K5" s="21" t="n">
        <v>37</v>
      </c>
      <c r="L5" s="21" t="n">
        <v>37</v>
      </c>
      <c r="M5" s="21" t="n">
        <v>41</v>
      </c>
      <c r="N5" s="22" t="n">
        <v>411</v>
      </c>
    </row>
    <row r="6">
      <c r="A6" s="5" t="inlineStr">
        <is>
          <t>Production Produit B</t>
        </is>
      </c>
      <c r="B6" s="21" t="n">
        <v>46</v>
      </c>
      <c r="C6" s="21" t="n">
        <v>46</v>
      </c>
      <c r="D6" s="21" t="n">
        <v>53</v>
      </c>
      <c r="E6" s="21" t="n">
        <v>66</v>
      </c>
      <c r="F6" s="21" t="n">
        <v>66</v>
      </c>
      <c r="G6" s="21" t="n">
        <v>66</v>
      </c>
      <c r="H6" s="21" t="n">
        <v>40</v>
      </c>
      <c r="I6" s="21" t="n">
        <v>46</v>
      </c>
      <c r="J6" s="21" t="n">
        <v>46</v>
      </c>
      <c r="K6" s="21" t="n">
        <v>60</v>
      </c>
      <c r="L6" s="21" t="n">
        <v>60</v>
      </c>
      <c r="M6" s="21" t="n">
        <v>66</v>
      </c>
      <c r="N6" s="22" t="n">
        <v>661</v>
      </c>
    </row>
    <row r="7">
      <c r="A7" s="5" t="inlineStr">
        <is>
          <t>Production Produit C</t>
        </is>
      </c>
      <c r="B7" s="21" t="n">
        <v>12</v>
      </c>
      <c r="C7" s="21" t="n">
        <v>12</v>
      </c>
      <c r="D7" s="21" t="n">
        <v>14</v>
      </c>
      <c r="E7" s="21" t="n">
        <v>18</v>
      </c>
      <c r="F7" s="21" t="n">
        <v>18</v>
      </c>
      <c r="G7" s="21" t="n">
        <v>18</v>
      </c>
      <c r="H7" s="21" t="n">
        <v>11</v>
      </c>
      <c r="I7" s="21" t="n">
        <v>12</v>
      </c>
      <c r="J7" s="21" t="n">
        <v>12</v>
      </c>
      <c r="K7" s="21" t="n">
        <v>16</v>
      </c>
      <c r="L7" s="21" t="n">
        <v>16</v>
      </c>
      <c r="M7" s="21" t="n">
        <v>18</v>
      </c>
      <c r="N7" s="22" t="n">
        <v>177</v>
      </c>
    </row>
    <row r="8">
      <c r="A8" s="5" t="inlineStr">
        <is>
          <t>Main d'œuvre directe</t>
        </is>
      </c>
      <c r="B8" s="25" t="n">
        <v>28386</v>
      </c>
      <c r="C8" s="25" t="n">
        <v>28386</v>
      </c>
      <c r="D8" s="25" t="n">
        <v>32441</v>
      </c>
      <c r="E8" s="25" t="n">
        <v>40551</v>
      </c>
      <c r="F8" s="25" t="n">
        <v>40551</v>
      </c>
      <c r="G8" s="25" t="n">
        <v>40551</v>
      </c>
      <c r="H8" s="25" t="n">
        <v>24331</v>
      </c>
      <c r="I8" s="25" t="n">
        <v>28386</v>
      </c>
      <c r="J8" s="25" t="n">
        <v>28386</v>
      </c>
      <c r="K8" s="25" t="n">
        <v>36496</v>
      </c>
      <c r="L8" s="25" t="n">
        <v>36496</v>
      </c>
      <c r="M8" s="25" t="n">
        <v>40551</v>
      </c>
      <c r="N8" s="26" t="n">
        <v>405511</v>
      </c>
    </row>
    <row r="9">
      <c r="A9" s="5" t="inlineStr">
        <is>
          <t>Charges machine</t>
        </is>
      </c>
      <c r="B9" s="25" t="n">
        <v>3639</v>
      </c>
      <c r="C9" s="25" t="n">
        <v>3639</v>
      </c>
      <c r="D9" s="25" t="n">
        <v>4159</v>
      </c>
      <c r="E9" s="25" t="n">
        <v>5199</v>
      </c>
      <c r="F9" s="25" t="n">
        <v>5199</v>
      </c>
      <c r="G9" s="25" t="n">
        <v>5199</v>
      </c>
      <c r="H9" s="25" t="n">
        <v>3119</v>
      </c>
      <c r="I9" s="25" t="n">
        <v>3639</v>
      </c>
      <c r="J9" s="25" t="n">
        <v>3639</v>
      </c>
      <c r="K9" s="25" t="n">
        <v>4679</v>
      </c>
      <c r="L9" s="25" t="n">
        <v>4679</v>
      </c>
      <c r="M9" s="25" t="n">
        <v>5199</v>
      </c>
      <c r="N9" s="26" t="n">
        <v>51988</v>
      </c>
    </row>
    <row r="10">
      <c r="A10" s="5" t="inlineStr">
        <is>
          <t>Énergie</t>
        </is>
      </c>
      <c r="B10" s="32" t="n">
        <v>2999</v>
      </c>
      <c r="C10" s="32" t="n">
        <v>2999</v>
      </c>
      <c r="D10" s="32" t="n">
        <v>3427</v>
      </c>
      <c r="E10" s="32" t="n">
        <v>4284</v>
      </c>
      <c r="F10" s="32" t="n">
        <v>4284</v>
      </c>
      <c r="G10" s="32" t="n">
        <v>4284</v>
      </c>
      <c r="H10" s="32" t="n">
        <v>2570</v>
      </c>
      <c r="I10" s="32" t="n">
        <v>2999</v>
      </c>
      <c r="J10" s="32" t="n">
        <v>2999</v>
      </c>
      <c r="K10" s="32" t="n">
        <v>3856</v>
      </c>
      <c r="L10" s="32" t="n">
        <v>3856</v>
      </c>
      <c r="M10" s="32" t="n">
        <v>4284</v>
      </c>
      <c r="N10" s="33" t="n">
        <v>42840</v>
      </c>
    </row>
    <row r="11">
      <c r="A11" s="5" t="inlineStr">
        <is>
          <t>Maintenance</t>
        </is>
      </c>
      <c r="B11" s="34" t="n">
        <v>545</v>
      </c>
      <c r="C11" s="34" t="n">
        <v>545</v>
      </c>
      <c r="D11" s="34" t="n">
        <v>623</v>
      </c>
      <c r="E11" s="34" t="n">
        <v>779</v>
      </c>
      <c r="F11" s="34" t="n">
        <v>779</v>
      </c>
      <c r="G11" s="34" t="n">
        <v>779</v>
      </c>
      <c r="H11" s="34" t="n">
        <v>467</v>
      </c>
      <c r="I11" s="34" t="n">
        <v>545</v>
      </c>
      <c r="J11" s="34" t="n">
        <v>545</v>
      </c>
      <c r="K11" s="34" t="n">
        <v>701</v>
      </c>
      <c r="L11" s="34" t="n">
        <v>701</v>
      </c>
      <c r="M11" s="34" t="n">
        <v>779</v>
      </c>
      <c r="N11" s="35" t="n">
        <v>7790</v>
      </c>
    </row>
    <row r="12">
      <c r="A12" s="5" t="inlineStr">
        <is>
          <t>TOTAL PRODUCTION</t>
        </is>
      </c>
      <c r="B12" s="27" t="n">
        <v>35569</v>
      </c>
      <c r="C12" s="27" t="n">
        <v>35569</v>
      </c>
      <c r="D12" s="27" t="n">
        <v>40650</v>
      </c>
      <c r="E12" s="27" t="n">
        <v>50813</v>
      </c>
      <c r="F12" s="27" t="n">
        <v>50813</v>
      </c>
      <c r="G12" s="27" t="n">
        <v>50813</v>
      </c>
      <c r="H12" s="27" t="n">
        <v>30487</v>
      </c>
      <c r="I12" s="27" t="n">
        <v>35569</v>
      </c>
      <c r="J12" s="27" t="n">
        <v>35569</v>
      </c>
      <c r="K12" s="27" t="n">
        <v>45732</v>
      </c>
      <c r="L12" s="27" t="n">
        <v>45732</v>
      </c>
      <c r="M12" s="27" t="n">
        <v>50813</v>
      </c>
      <c r="N12" s="28" t="n">
        <v>508129</v>
      </c>
    </row>
    <row r="17">
      <c r="A17" s="29" t="inlineStr">
        <is>
          <t>RÉALISTE</t>
        </is>
      </c>
    </row>
    <row r="18">
      <c r="A18" s="19" t="inlineStr">
        <is>
          <t>Indicateur</t>
        </is>
      </c>
      <c r="B18" s="19" t="inlineStr">
        <is>
          <t>Jan</t>
        </is>
      </c>
      <c r="C18" s="19" t="inlineStr">
        <is>
          <t>Fév</t>
        </is>
      </c>
      <c r="D18" s="19" t="inlineStr">
        <is>
          <t>Mars</t>
        </is>
      </c>
      <c r="E18" s="19" t="inlineStr">
        <is>
          <t>Avr</t>
        </is>
      </c>
      <c r="F18" s="19" t="inlineStr">
        <is>
          <t>Mai</t>
        </is>
      </c>
      <c r="G18" s="19" t="inlineStr">
        <is>
          <t>Juin</t>
        </is>
      </c>
      <c r="H18" s="19" t="inlineStr">
        <is>
          <t>Juil</t>
        </is>
      </c>
      <c r="I18" s="19" t="inlineStr">
        <is>
          <t>Août</t>
        </is>
      </c>
      <c r="J18" s="19" t="inlineStr">
        <is>
          <t>Sep</t>
        </is>
      </c>
      <c r="K18" s="19" t="inlineStr">
        <is>
          <t>Oct</t>
        </is>
      </c>
      <c r="L18" s="19" t="inlineStr">
        <is>
          <t>Nov</t>
        </is>
      </c>
      <c r="M18" s="19" t="inlineStr">
        <is>
          <t>Déc</t>
        </is>
      </c>
      <c r="N18" s="20" t="inlineStr">
        <is>
          <t>TOTAL</t>
        </is>
      </c>
    </row>
    <row r="19">
      <c r="A19" s="5" t="inlineStr">
        <is>
          <t>Production Produit A</t>
        </is>
      </c>
      <c r="B19" s="21" t="n">
        <v>29</v>
      </c>
      <c r="C19" s="21" t="n">
        <v>29</v>
      </c>
      <c r="D19" s="21" t="n">
        <v>34</v>
      </c>
      <c r="E19" s="21" t="n">
        <v>42</v>
      </c>
      <c r="F19" s="21" t="n">
        <v>42</v>
      </c>
      <c r="G19" s="21" t="n">
        <v>42</v>
      </c>
      <c r="H19" s="21" t="n">
        <v>25</v>
      </c>
      <c r="I19" s="21" t="n">
        <v>29</v>
      </c>
      <c r="J19" s="21" t="n">
        <v>29</v>
      </c>
      <c r="K19" s="21" t="n">
        <v>38</v>
      </c>
      <c r="L19" s="21" t="n">
        <v>38</v>
      </c>
      <c r="M19" s="21" t="n">
        <v>42</v>
      </c>
      <c r="N19" s="22" t="n">
        <v>419</v>
      </c>
    </row>
    <row r="20">
      <c r="A20" s="5" t="inlineStr">
        <is>
          <t>Production Produit B</t>
        </is>
      </c>
      <c r="B20" s="21" t="n">
        <v>48</v>
      </c>
      <c r="C20" s="21" t="n">
        <v>48</v>
      </c>
      <c r="D20" s="21" t="n">
        <v>55</v>
      </c>
      <c r="E20" s="21" t="n">
        <v>68</v>
      </c>
      <c r="F20" s="21" t="n">
        <v>68</v>
      </c>
      <c r="G20" s="21" t="n">
        <v>68</v>
      </c>
      <c r="H20" s="21" t="n">
        <v>41</v>
      </c>
      <c r="I20" s="21" t="n">
        <v>48</v>
      </c>
      <c r="J20" s="21" t="n">
        <v>48</v>
      </c>
      <c r="K20" s="21" t="n">
        <v>61</v>
      </c>
      <c r="L20" s="21" t="n">
        <v>61</v>
      </c>
      <c r="M20" s="21" t="n">
        <v>68</v>
      </c>
      <c r="N20" s="22" t="n">
        <v>682</v>
      </c>
    </row>
    <row r="21">
      <c r="A21" s="5" t="inlineStr">
        <is>
          <t>Production Produit C</t>
        </is>
      </c>
      <c r="B21" s="21" t="n">
        <v>13</v>
      </c>
      <c r="C21" s="21" t="n">
        <v>13</v>
      </c>
      <c r="D21" s="21" t="n">
        <v>15</v>
      </c>
      <c r="E21" s="21" t="n">
        <v>18</v>
      </c>
      <c r="F21" s="21" t="n">
        <v>18</v>
      </c>
      <c r="G21" s="21" t="n">
        <v>18</v>
      </c>
      <c r="H21" s="21" t="n">
        <v>11</v>
      </c>
      <c r="I21" s="21" t="n">
        <v>13</v>
      </c>
      <c r="J21" s="21" t="n">
        <v>13</v>
      </c>
      <c r="K21" s="21" t="n">
        <v>17</v>
      </c>
      <c r="L21" s="21" t="n">
        <v>17</v>
      </c>
      <c r="M21" s="21" t="n">
        <v>18</v>
      </c>
      <c r="N21" s="22" t="n">
        <v>184</v>
      </c>
    </row>
    <row r="22">
      <c r="A22" s="5" t="inlineStr">
        <is>
          <t>Main d'œuvre directe</t>
        </is>
      </c>
      <c r="B22" s="25" t="n">
        <v>28113</v>
      </c>
      <c r="C22" s="25" t="n">
        <v>28113</v>
      </c>
      <c r="D22" s="25" t="n">
        <v>32129</v>
      </c>
      <c r="E22" s="25" t="n">
        <v>40161</v>
      </c>
      <c r="F22" s="25" t="n">
        <v>40161</v>
      </c>
      <c r="G22" s="25" t="n">
        <v>40161</v>
      </c>
      <c r="H22" s="25" t="n">
        <v>24097</v>
      </c>
      <c r="I22" s="25" t="n">
        <v>28113</v>
      </c>
      <c r="J22" s="25" t="n">
        <v>28113</v>
      </c>
      <c r="K22" s="25" t="n">
        <v>36145</v>
      </c>
      <c r="L22" s="25" t="n">
        <v>36145</v>
      </c>
      <c r="M22" s="25" t="n">
        <v>40161</v>
      </c>
      <c r="N22" s="26" t="n">
        <v>401611</v>
      </c>
    </row>
    <row r="23">
      <c r="A23" s="5" t="inlineStr">
        <is>
          <t>Charges machine</t>
        </is>
      </c>
      <c r="B23" s="25" t="n">
        <v>3639</v>
      </c>
      <c r="C23" s="25" t="n">
        <v>3639</v>
      </c>
      <c r="D23" s="25" t="n">
        <v>4159</v>
      </c>
      <c r="E23" s="25" t="n">
        <v>5199</v>
      </c>
      <c r="F23" s="25" t="n">
        <v>5199</v>
      </c>
      <c r="G23" s="25" t="n">
        <v>5199</v>
      </c>
      <c r="H23" s="25" t="n">
        <v>3119</v>
      </c>
      <c r="I23" s="25" t="n">
        <v>3639</v>
      </c>
      <c r="J23" s="25" t="n">
        <v>3639</v>
      </c>
      <c r="K23" s="25" t="n">
        <v>4679</v>
      </c>
      <c r="L23" s="25" t="n">
        <v>4679</v>
      </c>
      <c r="M23" s="25" t="n">
        <v>5199</v>
      </c>
      <c r="N23" s="26" t="n">
        <v>51988</v>
      </c>
    </row>
    <row r="24">
      <c r="A24" s="5" t="inlineStr">
        <is>
          <t>Énergie</t>
        </is>
      </c>
      <c r="B24" s="32" t="n">
        <v>2977</v>
      </c>
      <c r="C24" s="32" t="n">
        <v>2977</v>
      </c>
      <c r="D24" s="32" t="n">
        <v>3402</v>
      </c>
      <c r="E24" s="32" t="n">
        <v>4252</v>
      </c>
      <c r="F24" s="32" t="n">
        <v>4252</v>
      </c>
      <c r="G24" s="32" t="n">
        <v>4252</v>
      </c>
      <c r="H24" s="32" t="n">
        <v>2552</v>
      </c>
      <c r="I24" s="32" t="n">
        <v>2977</v>
      </c>
      <c r="J24" s="32" t="n">
        <v>2977</v>
      </c>
      <c r="K24" s="32" t="n">
        <v>3827</v>
      </c>
      <c r="L24" s="32" t="n">
        <v>3827</v>
      </c>
      <c r="M24" s="32" t="n">
        <v>4252</v>
      </c>
      <c r="N24" s="33" t="n">
        <v>42525</v>
      </c>
    </row>
    <row r="25">
      <c r="A25" s="5" t="inlineStr">
        <is>
          <t>Maintenance</t>
        </is>
      </c>
      <c r="B25" s="34" t="n">
        <v>545</v>
      </c>
      <c r="C25" s="34" t="n">
        <v>545</v>
      </c>
      <c r="D25" s="34" t="n">
        <v>623</v>
      </c>
      <c r="E25" s="34" t="n">
        <v>779</v>
      </c>
      <c r="F25" s="34" t="n">
        <v>779</v>
      </c>
      <c r="G25" s="34" t="n">
        <v>779</v>
      </c>
      <c r="H25" s="34" t="n">
        <v>467</v>
      </c>
      <c r="I25" s="34" t="n">
        <v>545</v>
      </c>
      <c r="J25" s="34" t="n">
        <v>545</v>
      </c>
      <c r="K25" s="34" t="n">
        <v>701</v>
      </c>
      <c r="L25" s="34" t="n">
        <v>701</v>
      </c>
      <c r="M25" s="34" t="n">
        <v>779</v>
      </c>
      <c r="N25" s="35" t="n">
        <v>7790</v>
      </c>
    </row>
    <row r="26">
      <c r="A26" s="5" t="inlineStr">
        <is>
          <t>TOTAL PRODUCTION</t>
        </is>
      </c>
      <c r="B26" s="27" t="n">
        <v>35274</v>
      </c>
      <c r="C26" s="27" t="n">
        <v>35274</v>
      </c>
      <c r="D26" s="27" t="n">
        <v>40313</v>
      </c>
      <c r="E26" s="27" t="n">
        <v>50391</v>
      </c>
      <c r="F26" s="27" t="n">
        <v>50391</v>
      </c>
      <c r="G26" s="27" t="n">
        <v>50391</v>
      </c>
      <c r="H26" s="27" t="n">
        <v>30235</v>
      </c>
      <c r="I26" s="27" t="n">
        <v>35274</v>
      </c>
      <c r="J26" s="27" t="n">
        <v>35274</v>
      </c>
      <c r="K26" s="27" t="n">
        <v>45352</v>
      </c>
      <c r="L26" s="27" t="n">
        <v>45352</v>
      </c>
      <c r="M26" s="27" t="n">
        <v>50391</v>
      </c>
      <c r="N26" s="28" t="n">
        <v>503914</v>
      </c>
    </row>
    <row r="31">
      <c r="A31" s="30" t="inlineStr">
        <is>
          <t>OPTIMISTE</t>
        </is>
      </c>
    </row>
    <row r="32">
      <c r="A32" s="19" t="inlineStr">
        <is>
          <t>Indicateur</t>
        </is>
      </c>
      <c r="B32" s="19" t="inlineStr">
        <is>
          <t>Jan</t>
        </is>
      </c>
      <c r="C32" s="19" t="inlineStr">
        <is>
          <t>Fév</t>
        </is>
      </c>
      <c r="D32" s="19" t="inlineStr">
        <is>
          <t>Mars</t>
        </is>
      </c>
      <c r="E32" s="19" t="inlineStr">
        <is>
          <t>Avr</t>
        </is>
      </c>
      <c r="F32" s="19" t="inlineStr">
        <is>
          <t>Mai</t>
        </is>
      </c>
      <c r="G32" s="19" t="inlineStr">
        <is>
          <t>Juin</t>
        </is>
      </c>
      <c r="H32" s="19" t="inlineStr">
        <is>
          <t>Juil</t>
        </is>
      </c>
      <c r="I32" s="19" t="inlineStr">
        <is>
          <t>Août</t>
        </is>
      </c>
      <c r="J32" s="19" t="inlineStr">
        <is>
          <t>Sep</t>
        </is>
      </c>
      <c r="K32" s="19" t="inlineStr">
        <is>
          <t>Oct</t>
        </is>
      </c>
      <c r="L32" s="19" t="inlineStr">
        <is>
          <t>Nov</t>
        </is>
      </c>
      <c r="M32" s="19" t="inlineStr">
        <is>
          <t>Déc</t>
        </is>
      </c>
      <c r="N32" s="20" t="inlineStr">
        <is>
          <t>TOTAL</t>
        </is>
      </c>
    </row>
    <row r="33">
      <c r="A33" s="5" t="inlineStr">
        <is>
          <t>Production Produit A</t>
        </is>
      </c>
      <c r="B33" s="21" t="n">
        <v>31</v>
      </c>
      <c r="C33" s="21" t="n">
        <v>31</v>
      </c>
      <c r="D33" s="21" t="n">
        <v>35</v>
      </c>
      <c r="E33" s="21" t="n">
        <v>44</v>
      </c>
      <c r="F33" s="21" t="n">
        <v>44</v>
      </c>
      <c r="G33" s="21" t="n">
        <v>44</v>
      </c>
      <c r="H33" s="21" t="n">
        <v>26</v>
      </c>
      <c r="I33" s="21" t="n">
        <v>31</v>
      </c>
      <c r="J33" s="21" t="n">
        <v>31</v>
      </c>
      <c r="K33" s="21" t="n">
        <v>40</v>
      </c>
      <c r="L33" s="21" t="n">
        <v>40</v>
      </c>
      <c r="M33" s="21" t="n">
        <v>44</v>
      </c>
      <c r="N33" s="22" t="n">
        <v>441</v>
      </c>
    </row>
    <row r="34">
      <c r="A34" s="5" t="inlineStr">
        <is>
          <t>Production Produit B</t>
        </is>
      </c>
      <c r="B34" s="21" t="n">
        <v>50</v>
      </c>
      <c r="C34" s="21" t="n">
        <v>50</v>
      </c>
      <c r="D34" s="21" t="n">
        <v>57</v>
      </c>
      <c r="E34" s="21" t="n">
        <v>72</v>
      </c>
      <c r="F34" s="21" t="n">
        <v>72</v>
      </c>
      <c r="G34" s="21" t="n">
        <v>72</v>
      </c>
      <c r="H34" s="21" t="n">
        <v>43</v>
      </c>
      <c r="I34" s="21" t="n">
        <v>50</v>
      </c>
      <c r="J34" s="21" t="n">
        <v>50</v>
      </c>
      <c r="K34" s="21" t="n">
        <v>64</v>
      </c>
      <c r="L34" s="21" t="n">
        <v>64</v>
      </c>
      <c r="M34" s="21" t="n">
        <v>72</v>
      </c>
      <c r="N34" s="22" t="n">
        <v>716</v>
      </c>
    </row>
    <row r="35">
      <c r="A35" s="5" t="inlineStr">
        <is>
          <t>Production Produit C</t>
        </is>
      </c>
      <c r="B35" s="21" t="n">
        <v>13</v>
      </c>
      <c r="C35" s="21" t="n">
        <v>13</v>
      </c>
      <c r="D35" s="21" t="n">
        <v>15</v>
      </c>
      <c r="E35" s="21" t="n">
        <v>19</v>
      </c>
      <c r="F35" s="21" t="n">
        <v>19</v>
      </c>
      <c r="G35" s="21" t="n">
        <v>19</v>
      </c>
      <c r="H35" s="21" t="n">
        <v>12</v>
      </c>
      <c r="I35" s="21" t="n">
        <v>13</v>
      </c>
      <c r="J35" s="21" t="n">
        <v>13</v>
      </c>
      <c r="K35" s="21" t="n">
        <v>17</v>
      </c>
      <c r="L35" s="21" t="n">
        <v>17</v>
      </c>
      <c r="M35" s="21" t="n">
        <v>19</v>
      </c>
      <c r="N35" s="22" t="n">
        <v>189</v>
      </c>
    </row>
    <row r="36">
      <c r="A36" s="5" t="inlineStr">
        <is>
          <t>Main d'œuvre directe</t>
        </is>
      </c>
      <c r="B36" s="25" t="n">
        <v>27840</v>
      </c>
      <c r="C36" s="25" t="n">
        <v>27840</v>
      </c>
      <c r="D36" s="25" t="n">
        <v>31817</v>
      </c>
      <c r="E36" s="25" t="n">
        <v>39771</v>
      </c>
      <c r="F36" s="25" t="n">
        <v>39771</v>
      </c>
      <c r="G36" s="25" t="n">
        <v>39771</v>
      </c>
      <c r="H36" s="25" t="n">
        <v>23863</v>
      </c>
      <c r="I36" s="25" t="n">
        <v>27840</v>
      </c>
      <c r="J36" s="25" t="n">
        <v>27840</v>
      </c>
      <c r="K36" s="25" t="n">
        <v>35794</v>
      </c>
      <c r="L36" s="25" t="n">
        <v>35794</v>
      </c>
      <c r="M36" s="25" t="n">
        <v>39771</v>
      </c>
      <c r="N36" s="26" t="n">
        <v>397712</v>
      </c>
    </row>
    <row r="37">
      <c r="A37" s="5" t="inlineStr">
        <is>
          <t>Charges machine</t>
        </is>
      </c>
      <c r="B37" s="25" t="n">
        <v>3639</v>
      </c>
      <c r="C37" s="25" t="n">
        <v>3639</v>
      </c>
      <c r="D37" s="25" t="n">
        <v>4159</v>
      </c>
      <c r="E37" s="25" t="n">
        <v>5199</v>
      </c>
      <c r="F37" s="25" t="n">
        <v>5199</v>
      </c>
      <c r="G37" s="25" t="n">
        <v>5199</v>
      </c>
      <c r="H37" s="25" t="n">
        <v>3119</v>
      </c>
      <c r="I37" s="25" t="n">
        <v>3639</v>
      </c>
      <c r="J37" s="25" t="n">
        <v>3639</v>
      </c>
      <c r="K37" s="25" t="n">
        <v>4679</v>
      </c>
      <c r="L37" s="25" t="n">
        <v>4679</v>
      </c>
      <c r="M37" s="25" t="n">
        <v>5199</v>
      </c>
      <c r="N37" s="26" t="n">
        <v>51988</v>
      </c>
    </row>
    <row r="38">
      <c r="A38" s="5" t="inlineStr">
        <is>
          <t>Énergie</t>
        </is>
      </c>
      <c r="B38" s="32" t="n">
        <v>3003</v>
      </c>
      <c r="C38" s="32" t="n">
        <v>3003</v>
      </c>
      <c r="D38" s="32" t="n">
        <v>3432</v>
      </c>
      <c r="E38" s="32" t="n">
        <v>4290</v>
      </c>
      <c r="F38" s="32" t="n">
        <v>4290</v>
      </c>
      <c r="G38" s="32" t="n">
        <v>4290</v>
      </c>
      <c r="H38" s="32" t="n">
        <v>2574</v>
      </c>
      <c r="I38" s="32" t="n">
        <v>3003</v>
      </c>
      <c r="J38" s="32" t="n">
        <v>3003</v>
      </c>
      <c r="K38" s="32" t="n">
        <v>3861</v>
      </c>
      <c r="L38" s="32" t="n">
        <v>3861</v>
      </c>
      <c r="M38" s="32" t="n">
        <v>4290</v>
      </c>
      <c r="N38" s="33" t="n">
        <v>42900</v>
      </c>
    </row>
    <row r="39">
      <c r="A39" s="5" t="inlineStr">
        <is>
          <t>Maintenance</t>
        </is>
      </c>
      <c r="B39" s="34" t="n">
        <v>545</v>
      </c>
      <c r="C39" s="34" t="n">
        <v>545</v>
      </c>
      <c r="D39" s="34" t="n">
        <v>623</v>
      </c>
      <c r="E39" s="34" t="n">
        <v>779</v>
      </c>
      <c r="F39" s="34" t="n">
        <v>779</v>
      </c>
      <c r="G39" s="34" t="n">
        <v>779</v>
      </c>
      <c r="H39" s="34" t="n">
        <v>467</v>
      </c>
      <c r="I39" s="34" t="n">
        <v>545</v>
      </c>
      <c r="J39" s="34" t="n">
        <v>545</v>
      </c>
      <c r="K39" s="34" t="n">
        <v>701</v>
      </c>
      <c r="L39" s="34" t="n">
        <v>701</v>
      </c>
      <c r="M39" s="34" t="n">
        <v>779</v>
      </c>
      <c r="N39" s="35" t="n">
        <v>7790</v>
      </c>
    </row>
    <row r="40">
      <c r="A40" s="5" t="inlineStr">
        <is>
          <t>TOTAL PRODUCTION</t>
        </is>
      </c>
      <c r="B40" s="27" t="n">
        <v>35027</v>
      </c>
      <c r="C40" s="27" t="n">
        <v>35027</v>
      </c>
      <c r="D40" s="27" t="n">
        <v>40031</v>
      </c>
      <c r="E40" s="27" t="n">
        <v>50039</v>
      </c>
      <c r="F40" s="27" t="n">
        <v>50039</v>
      </c>
      <c r="G40" s="27" t="n">
        <v>50039</v>
      </c>
      <c r="H40" s="27" t="n">
        <v>30023</v>
      </c>
      <c r="I40" s="27" t="n">
        <v>35027</v>
      </c>
      <c r="J40" s="27" t="n">
        <v>35027</v>
      </c>
      <c r="K40" s="27" t="n">
        <v>45035</v>
      </c>
      <c r="L40" s="27" t="n">
        <v>45035</v>
      </c>
      <c r="M40" s="27" t="n">
        <v>50039</v>
      </c>
      <c r="N40" s="28" t="n">
        <v>500390</v>
      </c>
    </row>
    <row r="45">
      <c r="A45" s="31" t="inlineStr">
        <is>
          <t>APPRENANT</t>
        </is>
      </c>
    </row>
    <row r="46">
      <c r="A46" s="19" t="inlineStr">
        <is>
          <t>Indicateur</t>
        </is>
      </c>
      <c r="B46" s="19" t="inlineStr">
        <is>
          <t>Jan</t>
        </is>
      </c>
      <c r="C46" s="19" t="inlineStr">
        <is>
          <t>Fév</t>
        </is>
      </c>
      <c r="D46" s="19" t="inlineStr">
        <is>
          <t>Mars</t>
        </is>
      </c>
      <c r="E46" s="19" t="inlineStr">
        <is>
          <t>Avr</t>
        </is>
      </c>
      <c r="F46" s="19" t="inlineStr">
        <is>
          <t>Mai</t>
        </is>
      </c>
      <c r="G46" s="19" t="inlineStr">
        <is>
          <t>Juin</t>
        </is>
      </c>
      <c r="H46" s="19" t="inlineStr">
        <is>
          <t>Juil</t>
        </is>
      </c>
      <c r="I46" s="19" t="inlineStr">
        <is>
          <t>Août</t>
        </is>
      </c>
      <c r="J46" s="19" t="inlineStr">
        <is>
          <t>Sep</t>
        </is>
      </c>
      <c r="K46" s="19" t="inlineStr">
        <is>
          <t>Oct</t>
        </is>
      </c>
      <c r="L46" s="19" t="inlineStr">
        <is>
          <t>Nov</t>
        </is>
      </c>
      <c r="M46" s="19" t="inlineStr">
        <is>
          <t>Déc</t>
        </is>
      </c>
      <c r="N46" s="20" t="inlineStr">
        <is>
          <t>TOTAL</t>
        </is>
      </c>
    </row>
    <row r="47">
      <c r="A47" s="5" t="inlineStr">
        <is>
          <t>Production Produit A</t>
        </is>
      </c>
      <c r="B47" s="21" t="n">
        <v>30</v>
      </c>
      <c r="C47" s="21" t="n">
        <v>30</v>
      </c>
      <c r="D47" s="21" t="n">
        <v>34</v>
      </c>
      <c r="E47" s="21" t="n">
        <v>43</v>
      </c>
      <c r="F47" s="21" t="n">
        <v>43</v>
      </c>
      <c r="G47" s="21" t="n">
        <v>43</v>
      </c>
      <c r="H47" s="21" t="n">
        <v>26</v>
      </c>
      <c r="I47" s="21" t="n">
        <v>30</v>
      </c>
      <c r="J47" s="21" t="n">
        <v>30</v>
      </c>
      <c r="K47" s="21" t="n">
        <v>39</v>
      </c>
      <c r="L47" s="21" t="n">
        <v>39</v>
      </c>
      <c r="M47" s="21" t="n">
        <v>43</v>
      </c>
      <c r="N47" s="22" t="n">
        <v>430</v>
      </c>
    </row>
    <row r="48">
      <c r="A48" s="5" t="inlineStr">
        <is>
          <t>Production Produit B</t>
        </is>
      </c>
      <c r="B48" s="21" t="n">
        <v>49</v>
      </c>
      <c r="C48" s="21" t="n">
        <v>49</v>
      </c>
      <c r="D48" s="21" t="n">
        <v>56</v>
      </c>
      <c r="E48" s="21" t="n">
        <v>70</v>
      </c>
      <c r="F48" s="21" t="n">
        <v>70</v>
      </c>
      <c r="G48" s="21" t="n">
        <v>70</v>
      </c>
      <c r="H48" s="21" t="n">
        <v>42</v>
      </c>
      <c r="I48" s="21" t="n">
        <v>49</v>
      </c>
      <c r="J48" s="21" t="n">
        <v>49</v>
      </c>
      <c r="K48" s="21" t="n">
        <v>63</v>
      </c>
      <c r="L48" s="21" t="n">
        <v>63</v>
      </c>
      <c r="M48" s="21" t="n">
        <v>70</v>
      </c>
      <c r="N48" s="22" t="n">
        <v>700</v>
      </c>
    </row>
    <row r="49">
      <c r="A49" s="5" t="inlineStr">
        <is>
          <t>Production Produit C</t>
        </is>
      </c>
      <c r="B49" s="21" t="n">
        <v>13</v>
      </c>
      <c r="C49" s="21" t="n">
        <v>13</v>
      </c>
      <c r="D49" s="21" t="n">
        <v>15</v>
      </c>
      <c r="E49" s="21" t="n">
        <v>19</v>
      </c>
      <c r="F49" s="21" t="n">
        <v>19</v>
      </c>
      <c r="G49" s="21" t="n">
        <v>19</v>
      </c>
      <c r="H49" s="21" t="n">
        <v>11</v>
      </c>
      <c r="I49" s="21" t="n">
        <v>13</v>
      </c>
      <c r="J49" s="21" t="n">
        <v>13</v>
      </c>
      <c r="K49" s="21" t="n">
        <v>17</v>
      </c>
      <c r="L49" s="21" t="n">
        <v>17</v>
      </c>
      <c r="M49" s="21" t="n">
        <v>19</v>
      </c>
      <c r="N49" s="22" t="n">
        <v>188</v>
      </c>
    </row>
    <row r="50">
      <c r="A50" s="5" t="inlineStr">
        <is>
          <t>Main d'œuvre directe</t>
        </is>
      </c>
      <c r="B50" s="25" t="n">
        <v>27976</v>
      </c>
      <c r="C50" s="25" t="n">
        <v>27976</v>
      </c>
      <c r="D50" s="25" t="n">
        <v>31973</v>
      </c>
      <c r="E50" s="25" t="n">
        <v>39966</v>
      </c>
      <c r="F50" s="25" t="n">
        <v>39966</v>
      </c>
      <c r="G50" s="25" t="n">
        <v>39966</v>
      </c>
      <c r="H50" s="25" t="n">
        <v>23980</v>
      </c>
      <c r="I50" s="25" t="n">
        <v>27976</v>
      </c>
      <c r="J50" s="25" t="n">
        <v>27976</v>
      </c>
      <c r="K50" s="25" t="n">
        <v>35970</v>
      </c>
      <c r="L50" s="25" t="n">
        <v>35970</v>
      </c>
      <c r="M50" s="25" t="n">
        <v>39966</v>
      </c>
      <c r="N50" s="26" t="n">
        <v>399662</v>
      </c>
    </row>
    <row r="51">
      <c r="A51" s="5" t="inlineStr">
        <is>
          <t>Charges machine</t>
        </is>
      </c>
      <c r="B51" s="25" t="n">
        <v>3639</v>
      </c>
      <c r="C51" s="25" t="n">
        <v>3639</v>
      </c>
      <c r="D51" s="25" t="n">
        <v>4159</v>
      </c>
      <c r="E51" s="25" t="n">
        <v>5199</v>
      </c>
      <c r="F51" s="25" t="n">
        <v>5199</v>
      </c>
      <c r="G51" s="25" t="n">
        <v>5199</v>
      </c>
      <c r="H51" s="25" t="n">
        <v>3119</v>
      </c>
      <c r="I51" s="25" t="n">
        <v>3639</v>
      </c>
      <c r="J51" s="25" t="n">
        <v>3639</v>
      </c>
      <c r="K51" s="25" t="n">
        <v>4679</v>
      </c>
      <c r="L51" s="25" t="n">
        <v>4679</v>
      </c>
      <c r="M51" s="25" t="n">
        <v>5199</v>
      </c>
      <c r="N51" s="26" t="n">
        <v>51988</v>
      </c>
    </row>
    <row r="52">
      <c r="A52" s="5" t="inlineStr">
        <is>
          <t>Énergie</t>
        </is>
      </c>
      <c r="B52" s="32" t="n">
        <v>3005</v>
      </c>
      <c r="C52" s="32" t="n">
        <v>3005</v>
      </c>
      <c r="D52" s="32" t="n">
        <v>3435</v>
      </c>
      <c r="E52" s="32" t="n">
        <v>4293</v>
      </c>
      <c r="F52" s="32" t="n">
        <v>4293</v>
      </c>
      <c r="G52" s="32" t="n">
        <v>4293</v>
      </c>
      <c r="H52" s="32" t="n">
        <v>2576</v>
      </c>
      <c r="I52" s="32" t="n">
        <v>3005</v>
      </c>
      <c r="J52" s="32" t="n">
        <v>3005</v>
      </c>
      <c r="K52" s="32" t="n">
        <v>3864</v>
      </c>
      <c r="L52" s="32" t="n">
        <v>3864</v>
      </c>
      <c r="M52" s="32" t="n">
        <v>4293</v>
      </c>
      <c r="N52" s="33" t="n">
        <v>42934</v>
      </c>
    </row>
    <row r="53">
      <c r="A53" s="5" t="inlineStr">
        <is>
          <t>Maintenance</t>
        </is>
      </c>
      <c r="B53" s="34" t="n">
        <v>545</v>
      </c>
      <c r="C53" s="34" t="n">
        <v>545</v>
      </c>
      <c r="D53" s="34" t="n">
        <v>623</v>
      </c>
      <c r="E53" s="34" t="n">
        <v>779</v>
      </c>
      <c r="F53" s="34" t="n">
        <v>779</v>
      </c>
      <c r="G53" s="34" t="n">
        <v>779</v>
      </c>
      <c r="H53" s="34" t="n">
        <v>467</v>
      </c>
      <c r="I53" s="34" t="n">
        <v>545</v>
      </c>
      <c r="J53" s="34" t="n">
        <v>545</v>
      </c>
      <c r="K53" s="34" t="n">
        <v>701</v>
      </c>
      <c r="L53" s="34" t="n">
        <v>701</v>
      </c>
      <c r="M53" s="34" t="n">
        <v>779</v>
      </c>
      <c r="N53" s="35" t="n">
        <v>7790</v>
      </c>
    </row>
    <row r="54">
      <c r="A54" s="5" t="inlineStr">
        <is>
          <t>TOTAL PRODUCTION</t>
        </is>
      </c>
      <c r="B54" s="27" t="n">
        <v>35165</v>
      </c>
      <c r="C54" s="27" t="n">
        <v>35165</v>
      </c>
      <c r="D54" s="27" t="n">
        <v>40190</v>
      </c>
      <c r="E54" s="27" t="n">
        <v>50237</v>
      </c>
      <c r="F54" s="27" t="n">
        <v>50237</v>
      </c>
      <c r="G54" s="27" t="n">
        <v>50237</v>
      </c>
      <c r="H54" s="27" t="n">
        <v>30142</v>
      </c>
      <c r="I54" s="27" t="n">
        <v>35165</v>
      </c>
      <c r="J54" s="27" t="n">
        <v>35165</v>
      </c>
      <c r="K54" s="27" t="n">
        <v>45214</v>
      </c>
      <c r="L54" s="27" t="n">
        <v>45214</v>
      </c>
      <c r="M54" s="27" t="n">
        <v>50237</v>
      </c>
      <c r="N54" s="28" t="n">
        <v>502374</v>
      </c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APPROVISIONNEMENTS</t>
        </is>
      </c>
    </row>
    <row r="3">
      <c r="A3" s="18" t="inlineStr">
        <is>
          <t>PRUDENT</t>
        </is>
      </c>
    </row>
    <row r="4">
      <c r="A4" s="19" t="inlineStr">
        <is>
          <t>Indicateur</t>
        </is>
      </c>
      <c r="B4" s="19" t="inlineStr">
        <is>
          <t>Jan</t>
        </is>
      </c>
      <c r="C4" s="19" t="inlineStr">
        <is>
          <t>Fév</t>
        </is>
      </c>
      <c r="D4" s="19" t="inlineStr">
        <is>
          <t>Mars</t>
        </is>
      </c>
      <c r="E4" s="19" t="inlineStr">
        <is>
          <t>Avr</t>
        </is>
      </c>
      <c r="F4" s="19" t="inlineStr">
        <is>
          <t>Mai</t>
        </is>
      </c>
      <c r="G4" s="19" t="inlineStr">
        <is>
          <t>Juin</t>
        </is>
      </c>
      <c r="H4" s="19" t="inlineStr">
        <is>
          <t>Juil</t>
        </is>
      </c>
      <c r="I4" s="19" t="inlineStr">
        <is>
          <t>Août</t>
        </is>
      </c>
      <c r="J4" s="19" t="inlineStr">
        <is>
          <t>Sep</t>
        </is>
      </c>
      <c r="K4" s="19" t="inlineStr">
        <is>
          <t>Oct</t>
        </is>
      </c>
      <c r="L4" s="19" t="inlineStr">
        <is>
          <t>Nov</t>
        </is>
      </c>
      <c r="M4" s="19" t="inlineStr">
        <is>
          <t>Déc</t>
        </is>
      </c>
      <c r="N4" s="20" t="inlineStr">
        <is>
          <t>TOTAL</t>
        </is>
      </c>
    </row>
    <row r="5">
      <c r="A5" s="5" t="inlineStr">
        <is>
          <t>Matières premières</t>
        </is>
      </c>
      <c r="B5" s="36" t="n">
        <v>48695</v>
      </c>
      <c r="C5" s="36" t="n">
        <v>48695</v>
      </c>
      <c r="D5" s="36" t="n">
        <v>55651</v>
      </c>
      <c r="E5" s="36" t="n">
        <v>69564</v>
      </c>
      <c r="F5" s="36" t="n">
        <v>69564</v>
      </c>
      <c r="G5" s="36" t="n">
        <v>69564</v>
      </c>
      <c r="H5" s="36" t="n">
        <v>41738</v>
      </c>
      <c r="I5" s="36" t="n">
        <v>48695</v>
      </c>
      <c r="J5" s="36" t="n">
        <v>48695</v>
      </c>
      <c r="K5" s="36" t="n">
        <v>62608</v>
      </c>
      <c r="L5" s="36" t="n">
        <v>62608</v>
      </c>
      <c r="M5" s="36" t="n">
        <v>69564</v>
      </c>
      <c r="N5" s="37" t="n">
        <v>695640</v>
      </c>
    </row>
    <row r="6">
      <c r="A6" s="5" t="inlineStr">
        <is>
          <t>Emballages</t>
        </is>
      </c>
      <c r="B6" s="32" t="n">
        <v>2320</v>
      </c>
      <c r="C6" s="32" t="n">
        <v>2320</v>
      </c>
      <c r="D6" s="32" t="n">
        <v>2652</v>
      </c>
      <c r="E6" s="32" t="n">
        <v>3315</v>
      </c>
      <c r="F6" s="32" t="n">
        <v>3315</v>
      </c>
      <c r="G6" s="32" t="n">
        <v>3315</v>
      </c>
      <c r="H6" s="32" t="n">
        <v>1989</v>
      </c>
      <c r="I6" s="32" t="n">
        <v>2320</v>
      </c>
      <c r="J6" s="32" t="n">
        <v>2320</v>
      </c>
      <c r="K6" s="32" t="n">
        <v>2984</v>
      </c>
      <c r="L6" s="32" t="n">
        <v>2984</v>
      </c>
      <c r="M6" s="32" t="n">
        <v>3315</v>
      </c>
      <c r="N6" s="33" t="n">
        <v>33150</v>
      </c>
    </row>
    <row r="7">
      <c r="A7" s="5" t="inlineStr">
        <is>
          <t>Transport</t>
        </is>
      </c>
      <c r="B7" s="38" t="n">
        <v>2499</v>
      </c>
      <c r="C7" s="38" t="n">
        <v>2499</v>
      </c>
      <c r="D7" s="38" t="n">
        <v>2856</v>
      </c>
      <c r="E7" s="38" t="n">
        <v>3570</v>
      </c>
      <c r="F7" s="38" t="n">
        <v>3570</v>
      </c>
      <c r="G7" s="38" t="n">
        <v>3570</v>
      </c>
      <c r="H7" s="38" t="n">
        <v>2142</v>
      </c>
      <c r="I7" s="38" t="n">
        <v>2499</v>
      </c>
      <c r="J7" s="38" t="n">
        <v>2499</v>
      </c>
      <c r="K7" s="38" t="n">
        <v>3213</v>
      </c>
      <c r="L7" s="38" t="n">
        <v>3213</v>
      </c>
      <c r="M7" s="38" t="n">
        <v>3570</v>
      </c>
      <c r="N7" s="39" t="n">
        <v>35700</v>
      </c>
    </row>
    <row r="8">
      <c r="A8" s="5" t="inlineStr">
        <is>
          <t>Stock sécurité</t>
        </is>
      </c>
      <c r="B8" s="40" t="n">
        <v>1050</v>
      </c>
      <c r="C8" s="40" t="n">
        <v>1050</v>
      </c>
      <c r="D8" s="40" t="n">
        <v>1200</v>
      </c>
      <c r="E8" s="40" t="n">
        <v>1500</v>
      </c>
      <c r="F8" s="40" t="n">
        <v>1500</v>
      </c>
      <c r="G8" s="40" t="n">
        <v>1500</v>
      </c>
      <c r="H8" s="40" t="n">
        <v>900</v>
      </c>
      <c r="I8" s="40" t="n">
        <v>1050</v>
      </c>
      <c r="J8" s="40" t="n">
        <v>1050</v>
      </c>
      <c r="K8" s="40" t="n">
        <v>1350</v>
      </c>
      <c r="L8" s="40" t="n">
        <v>1350</v>
      </c>
      <c r="M8" s="40" t="n">
        <v>1500</v>
      </c>
      <c r="N8" s="41" t="n">
        <v>15000</v>
      </c>
    </row>
    <row r="9">
      <c r="A9" s="5" t="inlineStr">
        <is>
          <t>TOTAL APPROVISIONNEMENTS</t>
        </is>
      </c>
      <c r="B9" s="27" t="n">
        <v>54564</v>
      </c>
      <c r="C9" s="27" t="n">
        <v>54564</v>
      </c>
      <c r="D9" s="27" t="n">
        <v>62359</v>
      </c>
      <c r="E9" s="27" t="n">
        <v>77949</v>
      </c>
      <c r="F9" s="27" t="n">
        <v>77949</v>
      </c>
      <c r="G9" s="27" t="n">
        <v>77949</v>
      </c>
      <c r="H9" s="27" t="n">
        <v>46769</v>
      </c>
      <c r="I9" s="27" t="n">
        <v>54564</v>
      </c>
      <c r="J9" s="27" t="n">
        <v>54564</v>
      </c>
      <c r="K9" s="27" t="n">
        <v>70155</v>
      </c>
      <c r="L9" s="27" t="n">
        <v>70155</v>
      </c>
      <c r="M9" s="27" t="n">
        <v>77949</v>
      </c>
      <c r="N9" s="28" t="n">
        <v>779490</v>
      </c>
    </row>
    <row r="17">
      <c r="A17" s="29" t="inlineStr">
        <is>
          <t>RÉALISTE</t>
        </is>
      </c>
    </row>
    <row r="18">
      <c r="A18" s="19" t="inlineStr">
        <is>
          <t>Indicateur</t>
        </is>
      </c>
      <c r="B18" s="19" t="inlineStr">
        <is>
          <t>Jan</t>
        </is>
      </c>
      <c r="C18" s="19" t="inlineStr">
        <is>
          <t>Fév</t>
        </is>
      </c>
      <c r="D18" s="19" t="inlineStr">
        <is>
          <t>Mars</t>
        </is>
      </c>
      <c r="E18" s="19" t="inlineStr">
        <is>
          <t>Avr</t>
        </is>
      </c>
      <c r="F18" s="19" t="inlineStr">
        <is>
          <t>Mai</t>
        </is>
      </c>
      <c r="G18" s="19" t="inlineStr">
        <is>
          <t>Juin</t>
        </is>
      </c>
      <c r="H18" s="19" t="inlineStr">
        <is>
          <t>Juil</t>
        </is>
      </c>
      <c r="I18" s="19" t="inlineStr">
        <is>
          <t>Août</t>
        </is>
      </c>
      <c r="J18" s="19" t="inlineStr">
        <is>
          <t>Sep</t>
        </is>
      </c>
      <c r="K18" s="19" t="inlineStr">
        <is>
          <t>Oct</t>
        </is>
      </c>
      <c r="L18" s="19" t="inlineStr">
        <is>
          <t>Nov</t>
        </is>
      </c>
      <c r="M18" s="19" t="inlineStr">
        <is>
          <t>Déc</t>
        </is>
      </c>
      <c r="N18" s="20" t="inlineStr">
        <is>
          <t>TOTAL</t>
        </is>
      </c>
    </row>
    <row r="19">
      <c r="A19" s="5" t="inlineStr">
        <is>
          <t>Matières premières</t>
        </is>
      </c>
      <c r="B19" s="36" t="n">
        <v>48304</v>
      </c>
      <c r="C19" s="36" t="n">
        <v>48304</v>
      </c>
      <c r="D19" s="36" t="n">
        <v>55205</v>
      </c>
      <c r="E19" s="36" t="n">
        <v>69006</v>
      </c>
      <c r="F19" s="36" t="n">
        <v>69006</v>
      </c>
      <c r="G19" s="36" t="n">
        <v>69006</v>
      </c>
      <c r="H19" s="36" t="n">
        <v>41404</v>
      </c>
      <c r="I19" s="36" t="n">
        <v>48304</v>
      </c>
      <c r="J19" s="36" t="n">
        <v>48304</v>
      </c>
      <c r="K19" s="36" t="n">
        <v>62105</v>
      </c>
      <c r="L19" s="36" t="n">
        <v>62105</v>
      </c>
      <c r="M19" s="36" t="n">
        <v>69006</v>
      </c>
      <c r="N19" s="37" t="n">
        <v>690060</v>
      </c>
    </row>
    <row r="20">
      <c r="A20" s="5" t="inlineStr">
        <is>
          <t>Emballages</t>
        </is>
      </c>
      <c r="B20" s="32" t="n">
        <v>2389</v>
      </c>
      <c r="C20" s="32" t="n">
        <v>2389</v>
      </c>
      <c r="D20" s="32" t="n">
        <v>2730</v>
      </c>
      <c r="E20" s="32" t="n">
        <v>3412</v>
      </c>
      <c r="F20" s="32" t="n">
        <v>3412</v>
      </c>
      <c r="G20" s="32" t="n">
        <v>3412</v>
      </c>
      <c r="H20" s="32" t="n">
        <v>2048</v>
      </c>
      <c r="I20" s="32" t="n">
        <v>2389</v>
      </c>
      <c r="J20" s="32" t="n">
        <v>2389</v>
      </c>
      <c r="K20" s="32" t="n">
        <v>3071</v>
      </c>
      <c r="L20" s="32" t="n">
        <v>3071</v>
      </c>
      <c r="M20" s="32" t="n">
        <v>3412</v>
      </c>
      <c r="N20" s="33" t="n">
        <v>34125</v>
      </c>
    </row>
    <row r="21">
      <c r="A21" s="5" t="inlineStr">
        <is>
          <t>Transport</t>
        </is>
      </c>
      <c r="B21" s="38" t="n">
        <v>2573</v>
      </c>
      <c r="C21" s="38" t="n">
        <v>2573</v>
      </c>
      <c r="D21" s="38" t="n">
        <v>2940</v>
      </c>
      <c r="E21" s="38" t="n">
        <v>3675</v>
      </c>
      <c r="F21" s="38" t="n">
        <v>3675</v>
      </c>
      <c r="G21" s="38" t="n">
        <v>3675</v>
      </c>
      <c r="H21" s="38" t="n">
        <v>2205</v>
      </c>
      <c r="I21" s="38" t="n">
        <v>2573</v>
      </c>
      <c r="J21" s="38" t="n">
        <v>2573</v>
      </c>
      <c r="K21" s="38" t="n">
        <v>3308</v>
      </c>
      <c r="L21" s="38" t="n">
        <v>3308</v>
      </c>
      <c r="M21" s="38" t="n">
        <v>3675</v>
      </c>
      <c r="N21" s="39" t="n">
        <v>36750</v>
      </c>
    </row>
    <row r="22">
      <c r="A22" s="5" t="inlineStr">
        <is>
          <t>Stock sécurité</t>
        </is>
      </c>
      <c r="B22" s="40" t="n">
        <v>1050</v>
      </c>
      <c r="C22" s="40" t="n">
        <v>1050</v>
      </c>
      <c r="D22" s="40" t="n">
        <v>1200</v>
      </c>
      <c r="E22" s="40" t="n">
        <v>1500</v>
      </c>
      <c r="F22" s="40" t="n">
        <v>1500</v>
      </c>
      <c r="G22" s="40" t="n">
        <v>1500</v>
      </c>
      <c r="H22" s="40" t="n">
        <v>900</v>
      </c>
      <c r="I22" s="40" t="n">
        <v>1050</v>
      </c>
      <c r="J22" s="40" t="n">
        <v>1050</v>
      </c>
      <c r="K22" s="40" t="n">
        <v>1350</v>
      </c>
      <c r="L22" s="40" t="n">
        <v>1350</v>
      </c>
      <c r="M22" s="40" t="n">
        <v>1500</v>
      </c>
      <c r="N22" s="41" t="n">
        <v>15000</v>
      </c>
    </row>
    <row r="23">
      <c r="A23" s="5" t="inlineStr">
        <is>
          <t>TOTAL APPROVISIONNEMENTS</t>
        </is>
      </c>
      <c r="B23" s="27" t="n">
        <v>54316</v>
      </c>
      <c r="C23" s="27" t="n">
        <v>54316</v>
      </c>
      <c r="D23" s="27" t="n">
        <v>62075</v>
      </c>
      <c r="E23" s="27" t="n">
        <v>77593</v>
      </c>
      <c r="F23" s="27" t="n">
        <v>77593</v>
      </c>
      <c r="G23" s="27" t="n">
        <v>77593</v>
      </c>
      <c r="H23" s="27" t="n">
        <v>46557</v>
      </c>
      <c r="I23" s="27" t="n">
        <v>54316</v>
      </c>
      <c r="J23" s="27" t="n">
        <v>54316</v>
      </c>
      <c r="K23" s="27" t="n">
        <v>69834</v>
      </c>
      <c r="L23" s="27" t="n">
        <v>69834</v>
      </c>
      <c r="M23" s="27" t="n">
        <v>77593</v>
      </c>
      <c r="N23" s="28" t="n">
        <v>775935</v>
      </c>
    </row>
    <row r="31">
      <c r="A31" s="30" t="inlineStr">
        <is>
          <t>OPTIMISTE</t>
        </is>
      </c>
    </row>
    <row r="32">
      <c r="A32" s="19" t="inlineStr">
        <is>
          <t>Indicateur</t>
        </is>
      </c>
      <c r="B32" s="19" t="inlineStr">
        <is>
          <t>Jan</t>
        </is>
      </c>
      <c r="C32" s="19" t="inlineStr">
        <is>
          <t>Fév</t>
        </is>
      </c>
      <c r="D32" s="19" t="inlineStr">
        <is>
          <t>Mars</t>
        </is>
      </c>
      <c r="E32" s="19" t="inlineStr">
        <is>
          <t>Avr</t>
        </is>
      </c>
      <c r="F32" s="19" t="inlineStr">
        <is>
          <t>Mai</t>
        </is>
      </c>
      <c r="G32" s="19" t="inlineStr">
        <is>
          <t>Juin</t>
        </is>
      </c>
      <c r="H32" s="19" t="inlineStr">
        <is>
          <t>Juil</t>
        </is>
      </c>
      <c r="I32" s="19" t="inlineStr">
        <is>
          <t>Août</t>
        </is>
      </c>
      <c r="J32" s="19" t="inlineStr">
        <is>
          <t>Sep</t>
        </is>
      </c>
      <c r="K32" s="19" t="inlineStr">
        <is>
          <t>Oct</t>
        </is>
      </c>
      <c r="L32" s="19" t="inlineStr">
        <is>
          <t>Nov</t>
        </is>
      </c>
      <c r="M32" s="19" t="inlineStr">
        <is>
          <t>Déc</t>
        </is>
      </c>
      <c r="N32" s="20" t="inlineStr">
        <is>
          <t>TOTAL</t>
        </is>
      </c>
    </row>
    <row r="33">
      <c r="A33" s="5" t="inlineStr">
        <is>
          <t>Matières premières</t>
        </is>
      </c>
      <c r="B33" s="36" t="n">
        <v>49172</v>
      </c>
      <c r="C33" s="36" t="n">
        <v>49172</v>
      </c>
      <c r="D33" s="36" t="n">
        <v>56197</v>
      </c>
      <c r="E33" s="36" t="n">
        <v>70246</v>
      </c>
      <c r="F33" s="36" t="n">
        <v>70246</v>
      </c>
      <c r="G33" s="36" t="n">
        <v>70246</v>
      </c>
      <c r="H33" s="36" t="n">
        <v>42148</v>
      </c>
      <c r="I33" s="36" t="n">
        <v>49172</v>
      </c>
      <c r="J33" s="36" t="n">
        <v>49172</v>
      </c>
      <c r="K33" s="36" t="n">
        <v>63221</v>
      </c>
      <c r="L33" s="36" t="n">
        <v>63221</v>
      </c>
      <c r="M33" s="36" t="n">
        <v>70246</v>
      </c>
      <c r="N33" s="37" t="n">
        <v>702460</v>
      </c>
    </row>
    <row r="34">
      <c r="A34" s="5" t="inlineStr">
        <is>
          <t>Emballages</t>
        </is>
      </c>
      <c r="B34" s="32" t="n">
        <v>2503</v>
      </c>
      <c r="C34" s="32" t="n">
        <v>2503</v>
      </c>
      <c r="D34" s="32" t="n">
        <v>2860</v>
      </c>
      <c r="E34" s="32" t="n">
        <v>3575</v>
      </c>
      <c r="F34" s="32" t="n">
        <v>3575</v>
      </c>
      <c r="G34" s="32" t="n">
        <v>3575</v>
      </c>
      <c r="H34" s="32" t="n">
        <v>2145</v>
      </c>
      <c r="I34" s="32" t="n">
        <v>2503</v>
      </c>
      <c r="J34" s="32" t="n">
        <v>2503</v>
      </c>
      <c r="K34" s="32" t="n">
        <v>3218</v>
      </c>
      <c r="L34" s="32" t="n">
        <v>3218</v>
      </c>
      <c r="M34" s="32" t="n">
        <v>3575</v>
      </c>
      <c r="N34" s="33" t="n">
        <v>35750</v>
      </c>
    </row>
    <row r="35">
      <c r="A35" s="5" t="inlineStr">
        <is>
          <t>Transport</t>
        </is>
      </c>
      <c r="B35" s="38" t="n">
        <v>2695</v>
      </c>
      <c r="C35" s="38" t="n">
        <v>2695</v>
      </c>
      <c r="D35" s="38" t="n">
        <v>3080</v>
      </c>
      <c r="E35" s="38" t="n">
        <v>3850</v>
      </c>
      <c r="F35" s="38" t="n">
        <v>3850</v>
      </c>
      <c r="G35" s="38" t="n">
        <v>3850</v>
      </c>
      <c r="H35" s="38" t="n">
        <v>2310</v>
      </c>
      <c r="I35" s="38" t="n">
        <v>2695</v>
      </c>
      <c r="J35" s="38" t="n">
        <v>2695</v>
      </c>
      <c r="K35" s="38" t="n">
        <v>3465</v>
      </c>
      <c r="L35" s="38" t="n">
        <v>3465</v>
      </c>
      <c r="M35" s="38" t="n">
        <v>3850</v>
      </c>
      <c r="N35" s="39" t="n">
        <v>38500</v>
      </c>
    </row>
    <row r="36">
      <c r="A36" s="5" t="inlineStr">
        <is>
          <t>Stock sécurité</t>
        </is>
      </c>
      <c r="B36" s="40" t="n">
        <v>1050</v>
      </c>
      <c r="C36" s="40" t="n">
        <v>1050</v>
      </c>
      <c r="D36" s="40" t="n">
        <v>1200</v>
      </c>
      <c r="E36" s="40" t="n">
        <v>1500</v>
      </c>
      <c r="F36" s="40" t="n">
        <v>1500</v>
      </c>
      <c r="G36" s="40" t="n">
        <v>1500</v>
      </c>
      <c r="H36" s="40" t="n">
        <v>900</v>
      </c>
      <c r="I36" s="40" t="n">
        <v>1050</v>
      </c>
      <c r="J36" s="40" t="n">
        <v>1050</v>
      </c>
      <c r="K36" s="40" t="n">
        <v>1350</v>
      </c>
      <c r="L36" s="40" t="n">
        <v>1350</v>
      </c>
      <c r="M36" s="40" t="n">
        <v>1500</v>
      </c>
      <c r="N36" s="41" t="n">
        <v>15000</v>
      </c>
    </row>
    <row r="37">
      <c r="A37" s="5" t="inlineStr">
        <is>
          <t>TOTAL APPROVISIONNEMENTS</t>
        </is>
      </c>
      <c r="B37" s="27" t="n">
        <v>55420</v>
      </c>
      <c r="C37" s="27" t="n">
        <v>55420</v>
      </c>
      <c r="D37" s="27" t="n">
        <v>63337</v>
      </c>
      <c r="E37" s="27" t="n">
        <v>79171</v>
      </c>
      <c r="F37" s="27" t="n">
        <v>79171</v>
      </c>
      <c r="G37" s="27" t="n">
        <v>79171</v>
      </c>
      <c r="H37" s="27" t="n">
        <v>47503</v>
      </c>
      <c r="I37" s="27" t="n">
        <v>55420</v>
      </c>
      <c r="J37" s="27" t="n">
        <v>55420</v>
      </c>
      <c r="K37" s="27" t="n">
        <v>71254</v>
      </c>
      <c r="L37" s="27" t="n">
        <v>71254</v>
      </c>
      <c r="M37" s="27" t="n">
        <v>79171</v>
      </c>
      <c r="N37" s="28" t="n">
        <v>791710</v>
      </c>
    </row>
    <row r="45">
      <c r="A45" s="31" t="inlineStr">
        <is>
          <t>APPRENANT</t>
        </is>
      </c>
    </row>
    <row r="46">
      <c r="A46" s="19" t="inlineStr">
        <is>
          <t>Indicateur</t>
        </is>
      </c>
      <c r="B46" s="19" t="inlineStr">
        <is>
          <t>Jan</t>
        </is>
      </c>
      <c r="C46" s="19" t="inlineStr">
        <is>
          <t>Fév</t>
        </is>
      </c>
      <c r="D46" s="19" t="inlineStr">
        <is>
          <t>Mars</t>
        </is>
      </c>
      <c r="E46" s="19" t="inlineStr">
        <is>
          <t>Avr</t>
        </is>
      </c>
      <c r="F46" s="19" t="inlineStr">
        <is>
          <t>Mai</t>
        </is>
      </c>
      <c r="G46" s="19" t="inlineStr">
        <is>
          <t>Juin</t>
        </is>
      </c>
      <c r="H46" s="19" t="inlineStr">
        <is>
          <t>Juil</t>
        </is>
      </c>
      <c r="I46" s="19" t="inlineStr">
        <is>
          <t>Août</t>
        </is>
      </c>
      <c r="J46" s="19" t="inlineStr">
        <is>
          <t>Sep</t>
        </is>
      </c>
      <c r="K46" s="19" t="inlineStr">
        <is>
          <t>Oct</t>
        </is>
      </c>
      <c r="L46" s="19" t="inlineStr">
        <is>
          <t>Nov</t>
        </is>
      </c>
      <c r="M46" s="19" t="inlineStr">
        <is>
          <t>Déc</t>
        </is>
      </c>
      <c r="N46" s="20" t="inlineStr">
        <is>
          <t>TOTAL</t>
        </is>
      </c>
    </row>
    <row r="47">
      <c r="A47" s="5" t="inlineStr">
        <is>
          <t>Matières premières</t>
        </is>
      </c>
      <c r="B47" s="36" t="n">
        <v>48992</v>
      </c>
      <c r="C47" s="36" t="n">
        <v>48992</v>
      </c>
      <c r="D47" s="36" t="n">
        <v>55991</v>
      </c>
      <c r="E47" s="36" t="n">
        <v>69989</v>
      </c>
      <c r="F47" s="36" t="n">
        <v>69989</v>
      </c>
      <c r="G47" s="36" t="n">
        <v>69989</v>
      </c>
      <c r="H47" s="36" t="n">
        <v>41993</v>
      </c>
      <c r="I47" s="36" t="n">
        <v>48992</v>
      </c>
      <c r="J47" s="36" t="n">
        <v>48992</v>
      </c>
      <c r="K47" s="36" t="n">
        <v>62990</v>
      </c>
      <c r="L47" s="36" t="n">
        <v>62990</v>
      </c>
      <c r="M47" s="36" t="n">
        <v>69989</v>
      </c>
      <c r="N47" s="37" t="n">
        <v>699887</v>
      </c>
    </row>
    <row r="48">
      <c r="A48" s="5" t="inlineStr">
        <is>
          <t>Emballages</t>
        </is>
      </c>
      <c r="B48" s="32" t="n">
        <v>2434</v>
      </c>
      <c r="C48" s="32" t="n">
        <v>2434</v>
      </c>
      <c r="D48" s="32" t="n">
        <v>2782</v>
      </c>
      <c r="E48" s="32" t="n">
        <v>3478</v>
      </c>
      <c r="F48" s="32" t="n">
        <v>3478</v>
      </c>
      <c r="G48" s="32" t="n">
        <v>3478</v>
      </c>
      <c r="H48" s="32" t="n">
        <v>2086</v>
      </c>
      <c r="I48" s="32" t="n">
        <v>2434</v>
      </c>
      <c r="J48" s="32" t="n">
        <v>2434</v>
      </c>
      <c r="K48" s="32" t="n">
        <v>3130</v>
      </c>
      <c r="L48" s="32" t="n">
        <v>3130</v>
      </c>
      <c r="M48" s="32" t="n">
        <v>3478</v>
      </c>
      <c r="N48" s="33" t="n">
        <v>34775</v>
      </c>
    </row>
    <row r="49">
      <c r="A49" s="5" t="inlineStr">
        <is>
          <t>Transport</t>
        </is>
      </c>
      <c r="B49" s="38" t="n">
        <v>2622</v>
      </c>
      <c r="C49" s="38" t="n">
        <v>2622</v>
      </c>
      <c r="D49" s="38" t="n">
        <v>2996</v>
      </c>
      <c r="E49" s="38" t="n">
        <v>3745</v>
      </c>
      <c r="F49" s="38" t="n">
        <v>3745</v>
      </c>
      <c r="G49" s="38" t="n">
        <v>3745</v>
      </c>
      <c r="H49" s="38" t="n">
        <v>2247</v>
      </c>
      <c r="I49" s="38" t="n">
        <v>2622</v>
      </c>
      <c r="J49" s="38" t="n">
        <v>2622</v>
      </c>
      <c r="K49" s="38" t="n">
        <v>3370</v>
      </c>
      <c r="L49" s="38" t="n">
        <v>3370</v>
      </c>
      <c r="M49" s="38" t="n">
        <v>3745</v>
      </c>
      <c r="N49" s="39" t="n">
        <v>37450</v>
      </c>
    </row>
    <row r="50">
      <c r="A50" s="5" t="inlineStr">
        <is>
          <t>Stock sécurité</t>
        </is>
      </c>
      <c r="B50" s="40" t="n">
        <v>1050</v>
      </c>
      <c r="C50" s="40" t="n">
        <v>1050</v>
      </c>
      <c r="D50" s="40" t="n">
        <v>1200</v>
      </c>
      <c r="E50" s="40" t="n">
        <v>1500</v>
      </c>
      <c r="F50" s="40" t="n">
        <v>1500</v>
      </c>
      <c r="G50" s="40" t="n">
        <v>1500</v>
      </c>
      <c r="H50" s="40" t="n">
        <v>900</v>
      </c>
      <c r="I50" s="40" t="n">
        <v>1050</v>
      </c>
      <c r="J50" s="40" t="n">
        <v>1050</v>
      </c>
      <c r="K50" s="40" t="n">
        <v>1350</v>
      </c>
      <c r="L50" s="40" t="n">
        <v>1350</v>
      </c>
      <c r="M50" s="40" t="n">
        <v>1500</v>
      </c>
      <c r="N50" s="41" t="n">
        <v>15000</v>
      </c>
    </row>
    <row r="51">
      <c r="A51" s="5" t="inlineStr">
        <is>
          <t>TOTAL APPROVISIONNEMENTS</t>
        </is>
      </c>
      <c r="B51" s="27" t="n">
        <v>55098</v>
      </c>
      <c r="C51" s="27" t="n">
        <v>55098</v>
      </c>
      <c r="D51" s="27" t="n">
        <v>62969</v>
      </c>
      <c r="E51" s="27" t="n">
        <v>78712</v>
      </c>
      <c r="F51" s="27" t="n">
        <v>78712</v>
      </c>
      <c r="G51" s="27" t="n">
        <v>78712</v>
      </c>
      <c r="H51" s="27" t="n">
        <v>47226</v>
      </c>
      <c r="I51" s="27" t="n">
        <v>55098</v>
      </c>
      <c r="J51" s="27" t="n">
        <v>55098</v>
      </c>
      <c r="K51" s="27" t="n">
        <v>70840</v>
      </c>
      <c r="L51" s="27" t="n">
        <v>70840</v>
      </c>
      <c r="M51" s="27" t="n">
        <v>78712</v>
      </c>
      <c r="N51" s="28" t="n">
        <v>787112</v>
      </c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BUDGET DE TRÉSORERIE</t>
        </is>
      </c>
    </row>
    <row r="3">
      <c r="A3" s="18" t="inlineStr">
        <is>
          <t>PRUDENT</t>
        </is>
      </c>
    </row>
    <row r="4">
      <c r="A4" s="19" t="inlineStr">
        <is>
          <t>Indicateur</t>
        </is>
      </c>
      <c r="B4" s="19" t="inlineStr">
        <is>
          <t>Jan</t>
        </is>
      </c>
      <c r="C4" s="19" t="inlineStr">
        <is>
          <t>Fév</t>
        </is>
      </c>
      <c r="D4" s="19" t="inlineStr">
        <is>
          <t>Mars</t>
        </is>
      </c>
      <c r="E4" s="19" t="inlineStr">
        <is>
          <t>Avr</t>
        </is>
      </c>
      <c r="F4" s="19" t="inlineStr">
        <is>
          <t>Mai</t>
        </is>
      </c>
      <c r="G4" s="19" t="inlineStr">
        <is>
          <t>Juin</t>
        </is>
      </c>
      <c r="H4" s="19" t="inlineStr">
        <is>
          <t>Juil</t>
        </is>
      </c>
      <c r="I4" s="19" t="inlineStr">
        <is>
          <t>Août</t>
        </is>
      </c>
      <c r="J4" s="19" t="inlineStr">
        <is>
          <t>Sep</t>
        </is>
      </c>
      <c r="K4" s="19" t="inlineStr">
        <is>
          <t>Oct</t>
        </is>
      </c>
      <c r="L4" s="19" t="inlineStr">
        <is>
          <t>Nov</t>
        </is>
      </c>
      <c r="M4" s="19" t="inlineStr">
        <is>
          <t>Déc</t>
        </is>
      </c>
      <c r="N4" s="20" t="inlineStr">
        <is>
          <t>TOTAL</t>
        </is>
      </c>
    </row>
    <row r="5">
      <c r="A5" s="5" t="inlineStr">
        <is>
          <t>Encaissements clients</t>
        </is>
      </c>
      <c r="B5" s="25" t="n">
        <v>0</v>
      </c>
      <c r="C5" s="25" t="n">
        <v>0</v>
      </c>
      <c r="D5" s="25" t="n">
        <v>107100</v>
      </c>
      <c r="E5" s="25" t="n">
        <v>107100</v>
      </c>
      <c r="F5" s="25" t="n">
        <v>122400</v>
      </c>
      <c r="G5" s="25" t="n">
        <v>153000</v>
      </c>
      <c r="H5" s="25" t="n">
        <v>153000</v>
      </c>
      <c r="I5" s="25" t="n">
        <v>153000</v>
      </c>
      <c r="J5" s="25" t="n">
        <v>91800</v>
      </c>
      <c r="K5" s="25" t="n">
        <v>107100</v>
      </c>
      <c r="L5" s="25" t="n">
        <v>107100</v>
      </c>
      <c r="M5" s="25" t="n">
        <v>137700</v>
      </c>
      <c r="N5" s="26" t="n">
        <v>1239300</v>
      </c>
    </row>
    <row r="6">
      <c r="A6" s="5" t="inlineStr">
        <is>
          <t>Décaissements matières</t>
        </is>
      </c>
      <c r="B6" s="42" t="n">
        <v>48695</v>
      </c>
      <c r="C6" s="42" t="n">
        <v>48695</v>
      </c>
      <c r="D6" s="42" t="n">
        <v>55651</v>
      </c>
      <c r="E6" s="42" t="n">
        <v>69564</v>
      </c>
      <c r="F6" s="42" t="n">
        <v>69564</v>
      </c>
      <c r="G6" s="42" t="n">
        <v>69564</v>
      </c>
      <c r="H6" s="42" t="n">
        <v>41738</v>
      </c>
      <c r="I6" s="42" t="n">
        <v>48695</v>
      </c>
      <c r="J6" s="42" t="n">
        <v>48695</v>
      </c>
      <c r="K6" s="42" t="n">
        <v>62608</v>
      </c>
      <c r="L6" s="42" t="n">
        <v>62608</v>
      </c>
      <c r="M6" s="42" t="n">
        <v>69564</v>
      </c>
      <c r="N6" s="37" t="n">
        <v>695641</v>
      </c>
    </row>
    <row r="7">
      <c r="A7" s="5" t="inlineStr">
        <is>
          <t>Décaissements emballages</t>
        </is>
      </c>
      <c r="B7" s="43" t="n">
        <v>2320</v>
      </c>
      <c r="C7" s="43" t="n">
        <v>2320</v>
      </c>
      <c r="D7" s="43" t="n">
        <v>2652</v>
      </c>
      <c r="E7" s="43" t="n">
        <v>3315</v>
      </c>
      <c r="F7" s="43" t="n">
        <v>3315</v>
      </c>
      <c r="G7" s="43" t="n">
        <v>3315</v>
      </c>
      <c r="H7" s="43" t="n">
        <v>1989</v>
      </c>
      <c r="I7" s="43" t="n">
        <v>2320</v>
      </c>
      <c r="J7" s="43" t="n">
        <v>2320</v>
      </c>
      <c r="K7" s="43" t="n">
        <v>2984</v>
      </c>
      <c r="L7" s="43" t="n">
        <v>2984</v>
      </c>
      <c r="M7" s="43" t="n">
        <v>3315</v>
      </c>
      <c r="N7" s="33" t="n">
        <v>33149</v>
      </c>
    </row>
    <row r="8">
      <c r="A8" s="5" t="inlineStr">
        <is>
          <t>Salaires</t>
        </is>
      </c>
      <c r="B8" s="44" t="n">
        <v>28386</v>
      </c>
      <c r="C8" s="44" t="n">
        <v>28386</v>
      </c>
      <c r="D8" s="44" t="n">
        <v>32441</v>
      </c>
      <c r="E8" s="44" t="n">
        <v>40551</v>
      </c>
      <c r="F8" s="44" t="n">
        <v>40551</v>
      </c>
      <c r="G8" s="44" t="n">
        <v>40551</v>
      </c>
      <c r="H8" s="44" t="n">
        <v>24331</v>
      </c>
      <c r="I8" s="44" t="n">
        <v>28386</v>
      </c>
      <c r="J8" s="44" t="n">
        <v>28386</v>
      </c>
      <c r="K8" s="44" t="n">
        <v>36496</v>
      </c>
      <c r="L8" s="44" t="n">
        <v>36496</v>
      </c>
      <c r="M8" s="44" t="n">
        <v>40551</v>
      </c>
      <c r="N8" s="41" t="n">
        <v>405512</v>
      </c>
    </row>
    <row r="9">
      <c r="A9" s="5" t="inlineStr">
        <is>
          <t>Charges sociales</t>
        </is>
      </c>
      <c r="B9" s="43" t="n">
        <v>4175</v>
      </c>
      <c r="C9" s="43" t="n">
        <v>4175</v>
      </c>
      <c r="D9" s="43" t="n">
        <v>4771</v>
      </c>
      <c r="E9" s="43" t="n">
        <v>5964</v>
      </c>
      <c r="F9" s="43" t="n">
        <v>5964</v>
      </c>
      <c r="G9" s="43" t="n">
        <v>5964</v>
      </c>
      <c r="H9" s="43" t="n">
        <v>3578</v>
      </c>
      <c r="I9" s="43" t="n">
        <v>4175</v>
      </c>
      <c r="J9" s="43" t="n">
        <v>4175</v>
      </c>
      <c r="K9" s="43" t="n">
        <v>5368</v>
      </c>
      <c r="L9" s="43" t="n">
        <v>5368</v>
      </c>
      <c r="M9" s="43" t="n">
        <v>5964</v>
      </c>
      <c r="N9" s="33" t="n">
        <v>59641</v>
      </c>
    </row>
    <row r="10">
      <c r="A10" s="5" t="inlineStr">
        <is>
          <t>Énergie</t>
        </is>
      </c>
      <c r="B10" s="45" t="n">
        <v>0</v>
      </c>
      <c r="C10" s="45" t="n">
        <v>0</v>
      </c>
      <c r="D10" s="45" t="n">
        <v>0</v>
      </c>
      <c r="E10" s="45" t="n">
        <v>0</v>
      </c>
      <c r="F10" s="45" t="n">
        <v>0</v>
      </c>
      <c r="G10" s="45" t="n">
        <v>0</v>
      </c>
      <c r="H10" s="45" t="n">
        <v>0</v>
      </c>
      <c r="I10" s="45" t="n">
        <v>0</v>
      </c>
      <c r="J10" s="45" t="n">
        <v>0</v>
      </c>
      <c r="K10" s="45" t="n">
        <v>0</v>
      </c>
      <c r="L10" s="45" t="n">
        <v>0</v>
      </c>
      <c r="M10" s="45" t="n">
        <v>0</v>
      </c>
      <c r="N10" s="35" t="n">
        <v>0</v>
      </c>
    </row>
    <row r="11">
      <c r="A11" s="5" t="inlineStr">
        <is>
          <t>Impôts &amp; taxes</t>
        </is>
      </c>
      <c r="B11" s="45" t="n">
        <v>0</v>
      </c>
      <c r="C11" s="45" t="n">
        <v>11603</v>
      </c>
      <c r="D11" s="45" t="n">
        <v>13260</v>
      </c>
      <c r="E11" s="45" t="n">
        <v>16575</v>
      </c>
      <c r="F11" s="45" t="n">
        <v>16575</v>
      </c>
      <c r="G11" s="45" t="n">
        <v>16575</v>
      </c>
      <c r="H11" s="45" t="n">
        <v>9945</v>
      </c>
      <c r="I11" s="45" t="n">
        <v>11603</v>
      </c>
      <c r="J11" s="45" t="n">
        <v>11603</v>
      </c>
      <c r="K11" s="45" t="n">
        <v>14918</v>
      </c>
      <c r="L11" s="45" t="n">
        <v>14918</v>
      </c>
      <c r="M11" s="45" t="n">
        <v>16575</v>
      </c>
      <c r="N11" s="35" t="n">
        <v>154150</v>
      </c>
    </row>
    <row r="12">
      <c r="A12" s="5" t="inlineStr">
        <is>
          <t>TVA</t>
        </is>
      </c>
      <c r="B12" s="44" t="n">
        <v>2599</v>
      </c>
      <c r="C12" s="44" t="n">
        <v>2599</v>
      </c>
      <c r="D12" s="44" t="n">
        <v>2599</v>
      </c>
      <c r="E12" s="44" t="n">
        <v>2599</v>
      </c>
      <c r="F12" s="44" t="n">
        <v>2599</v>
      </c>
      <c r="G12" s="44" t="n">
        <v>2599</v>
      </c>
      <c r="H12" s="44" t="n">
        <v>2599</v>
      </c>
      <c r="I12" s="44" t="n">
        <v>2599</v>
      </c>
      <c r="J12" s="44" t="n">
        <v>2599</v>
      </c>
      <c r="K12" s="44" t="n">
        <v>2599</v>
      </c>
      <c r="L12" s="44" t="n">
        <v>2599</v>
      </c>
      <c r="M12" s="44" t="n">
        <v>2599</v>
      </c>
      <c r="N12" s="41" t="n">
        <v>31188</v>
      </c>
    </row>
    <row r="13">
      <c r="A13" s="5" t="inlineStr">
        <is>
          <t>Remboursement emprunt</t>
        </is>
      </c>
      <c r="B13" s="46" t="n">
        <v>0</v>
      </c>
      <c r="C13" s="46" t="n">
        <v>0</v>
      </c>
      <c r="D13" s="46" t="n">
        <v>0</v>
      </c>
      <c r="E13" s="46" t="n">
        <v>0</v>
      </c>
      <c r="F13" s="46" t="n">
        <v>0</v>
      </c>
      <c r="G13" s="46" t="n">
        <v>0</v>
      </c>
      <c r="H13" s="46" t="n">
        <v>0</v>
      </c>
      <c r="I13" s="46" t="n">
        <v>0</v>
      </c>
      <c r="J13" s="46" t="n">
        <v>0</v>
      </c>
      <c r="K13" s="46" t="n">
        <v>0</v>
      </c>
      <c r="L13" s="46" t="n">
        <v>0</v>
      </c>
      <c r="M13" s="46" t="n">
        <v>0</v>
      </c>
      <c r="N13" s="47" t="n">
        <v>0</v>
      </c>
    </row>
    <row r="14">
      <c r="A14" s="5" t="inlineStr">
        <is>
          <t>Investissements</t>
        </is>
      </c>
      <c r="B14" s="48" t="n">
        <v>86175</v>
      </c>
      <c r="C14" s="48" t="n">
        <v>97778</v>
      </c>
      <c r="D14" s="48" t="n">
        <v>111374</v>
      </c>
      <c r="E14" s="48" t="n">
        <v>138568</v>
      </c>
      <c r="F14" s="48" t="n">
        <v>138568</v>
      </c>
      <c r="G14" s="48" t="n">
        <v>138568</v>
      </c>
      <c r="H14" s="48" t="n">
        <v>84180</v>
      </c>
      <c r="I14" s="48" t="n">
        <v>97778</v>
      </c>
      <c r="J14" s="48" t="n">
        <v>97778</v>
      </c>
      <c r="K14" s="48" t="n">
        <v>124973</v>
      </c>
      <c r="L14" s="48" t="n">
        <v>124973</v>
      </c>
      <c r="M14" s="48" t="n">
        <v>138568</v>
      </c>
      <c r="N14" s="49" t="n">
        <v>1379281</v>
      </c>
    </row>
    <row r="15">
      <c r="A15" s="5" t="inlineStr">
        <is>
          <t>TOTAL DÉCAISSEMENTS</t>
        </is>
      </c>
      <c r="B15" s="48" t="n">
        <v>-191175</v>
      </c>
      <c r="C15" s="48" t="n">
        <v>-288953</v>
      </c>
      <c r="D15" s="48" t="n">
        <v>-293227</v>
      </c>
      <c r="E15" s="48" t="n">
        <v>-324695</v>
      </c>
      <c r="F15" s="48" t="n">
        <v>-340863</v>
      </c>
      <c r="G15" s="48" t="n">
        <v>-326431</v>
      </c>
      <c r="H15" s="48" t="n">
        <v>-257611</v>
      </c>
      <c r="I15" s="48" t="n">
        <v>-202389</v>
      </c>
      <c r="J15" s="48" t="n">
        <v>-208367</v>
      </c>
      <c r="K15" s="48" t="n">
        <v>-226240</v>
      </c>
      <c r="L15" s="48" t="n">
        <v>-244113</v>
      </c>
      <c r="M15" s="48" t="n">
        <v>-244981</v>
      </c>
      <c r="N15" s="49" t="n">
        <v>-244981</v>
      </c>
    </row>
    <row r="16">
      <c r="A16" s="5" t="inlineStr">
        <is>
          <t>TRÉSORERIE NETTE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29" t="inlineStr">
        <is>
          <t>RÉALISTE</t>
        </is>
      </c>
    </row>
    <row r="18">
      <c r="A18" s="19" t="inlineStr">
        <is>
          <t>Indicateur</t>
        </is>
      </c>
      <c r="B18" s="19" t="inlineStr">
        <is>
          <t>Jan</t>
        </is>
      </c>
      <c r="C18" s="19" t="inlineStr">
        <is>
          <t>Fév</t>
        </is>
      </c>
      <c r="D18" s="19" t="inlineStr">
        <is>
          <t>Mars</t>
        </is>
      </c>
      <c r="E18" s="19" t="inlineStr">
        <is>
          <t>Avr</t>
        </is>
      </c>
      <c r="F18" s="19" t="inlineStr">
        <is>
          <t>Mai</t>
        </is>
      </c>
      <c r="G18" s="19" t="inlineStr">
        <is>
          <t>Juin</t>
        </is>
      </c>
      <c r="H18" s="19" t="inlineStr">
        <is>
          <t>Juil</t>
        </is>
      </c>
      <c r="I18" s="19" t="inlineStr">
        <is>
          <t>Août</t>
        </is>
      </c>
      <c r="J18" s="19" t="inlineStr">
        <is>
          <t>Sep</t>
        </is>
      </c>
      <c r="K18" s="19" t="inlineStr">
        <is>
          <t>Oct</t>
        </is>
      </c>
      <c r="L18" s="19" t="inlineStr">
        <is>
          <t>Nov</t>
        </is>
      </c>
      <c r="M18" s="19" t="inlineStr">
        <is>
          <t>Déc</t>
        </is>
      </c>
      <c r="N18" s="20" t="inlineStr">
        <is>
          <t>TOTAL</t>
        </is>
      </c>
    </row>
    <row r="19">
      <c r="A19" s="5" t="inlineStr">
        <is>
          <t>Encaissements clients</t>
        </is>
      </c>
      <c r="B19" s="25" t="n">
        <v>0</v>
      </c>
      <c r="C19" s="25" t="n">
        <v>0</v>
      </c>
      <c r="D19" s="25" t="n">
        <v>110250</v>
      </c>
      <c r="E19" s="25" t="n">
        <v>110250</v>
      </c>
      <c r="F19" s="25" t="n">
        <v>126000</v>
      </c>
      <c r="G19" s="25" t="n">
        <v>157500</v>
      </c>
      <c r="H19" s="25" t="n">
        <v>157500</v>
      </c>
      <c r="I19" s="25" t="n">
        <v>157500</v>
      </c>
      <c r="J19" s="25" t="n">
        <v>94500</v>
      </c>
      <c r="K19" s="25" t="n">
        <v>110250</v>
      </c>
      <c r="L19" s="25" t="n">
        <v>110250</v>
      </c>
      <c r="M19" s="25" t="n">
        <v>141750</v>
      </c>
      <c r="N19" s="26" t="n">
        <v>1275750</v>
      </c>
    </row>
    <row r="20">
      <c r="A20" s="5" t="inlineStr">
        <is>
          <t>Décaissements matières</t>
        </is>
      </c>
      <c r="B20" s="42" t="n">
        <v>48304</v>
      </c>
      <c r="C20" s="42" t="n">
        <v>48304</v>
      </c>
      <c r="D20" s="42" t="n">
        <v>55205</v>
      </c>
      <c r="E20" s="42" t="n">
        <v>69006</v>
      </c>
      <c r="F20" s="42" t="n">
        <v>69006</v>
      </c>
      <c r="G20" s="42" t="n">
        <v>69006</v>
      </c>
      <c r="H20" s="42" t="n">
        <v>41404</v>
      </c>
      <c r="I20" s="42" t="n">
        <v>48304</v>
      </c>
      <c r="J20" s="42" t="n">
        <v>48304</v>
      </c>
      <c r="K20" s="42" t="n">
        <v>62105</v>
      </c>
      <c r="L20" s="42" t="n">
        <v>62105</v>
      </c>
      <c r="M20" s="42" t="n">
        <v>69006</v>
      </c>
      <c r="N20" s="37" t="n">
        <v>690059</v>
      </c>
    </row>
    <row r="21">
      <c r="A21" s="5" t="inlineStr">
        <is>
          <t>Décaissements emballages</t>
        </is>
      </c>
      <c r="B21" s="43" t="n">
        <v>2389</v>
      </c>
      <c r="C21" s="43" t="n">
        <v>2389</v>
      </c>
      <c r="D21" s="43" t="n">
        <v>2730</v>
      </c>
      <c r="E21" s="43" t="n">
        <v>3412</v>
      </c>
      <c r="F21" s="43" t="n">
        <v>3412</v>
      </c>
      <c r="G21" s="43" t="n">
        <v>3412</v>
      </c>
      <c r="H21" s="43" t="n">
        <v>2048</v>
      </c>
      <c r="I21" s="43" t="n">
        <v>2389</v>
      </c>
      <c r="J21" s="43" t="n">
        <v>2389</v>
      </c>
      <c r="K21" s="43" t="n">
        <v>3071</v>
      </c>
      <c r="L21" s="43" t="n">
        <v>3071</v>
      </c>
      <c r="M21" s="43" t="n">
        <v>3412</v>
      </c>
      <c r="N21" s="33" t="n">
        <v>34124</v>
      </c>
    </row>
    <row r="22">
      <c r="A22" s="5" t="inlineStr">
        <is>
          <t>Salaires</t>
        </is>
      </c>
      <c r="B22" s="44" t="n">
        <v>28113</v>
      </c>
      <c r="C22" s="44" t="n">
        <v>28113</v>
      </c>
      <c r="D22" s="44" t="n">
        <v>32129</v>
      </c>
      <c r="E22" s="44" t="n">
        <v>40161</v>
      </c>
      <c r="F22" s="44" t="n">
        <v>40161</v>
      </c>
      <c r="G22" s="44" t="n">
        <v>40161</v>
      </c>
      <c r="H22" s="44" t="n">
        <v>24097</v>
      </c>
      <c r="I22" s="44" t="n">
        <v>28113</v>
      </c>
      <c r="J22" s="44" t="n">
        <v>28113</v>
      </c>
      <c r="K22" s="44" t="n">
        <v>36145</v>
      </c>
      <c r="L22" s="44" t="n">
        <v>36145</v>
      </c>
      <c r="M22" s="44" t="n">
        <v>40161</v>
      </c>
      <c r="N22" s="41" t="n">
        <v>401612</v>
      </c>
    </row>
    <row r="23">
      <c r="A23" s="5" t="inlineStr">
        <is>
          <t>Charges sociales</t>
        </is>
      </c>
      <c r="B23" s="43" t="n">
        <v>4111</v>
      </c>
      <c r="C23" s="43" t="n">
        <v>4111</v>
      </c>
      <c r="D23" s="43" t="n">
        <v>4698</v>
      </c>
      <c r="E23" s="43" t="n">
        <v>5872</v>
      </c>
      <c r="F23" s="43" t="n">
        <v>5872</v>
      </c>
      <c r="G23" s="43" t="n">
        <v>5872</v>
      </c>
      <c r="H23" s="43" t="n">
        <v>3524</v>
      </c>
      <c r="I23" s="43" t="n">
        <v>4111</v>
      </c>
      <c r="J23" s="43" t="n">
        <v>4111</v>
      </c>
      <c r="K23" s="43" t="n">
        <v>5285</v>
      </c>
      <c r="L23" s="43" t="n">
        <v>5285</v>
      </c>
      <c r="M23" s="43" t="n">
        <v>5872</v>
      </c>
      <c r="N23" s="33" t="n">
        <v>58724</v>
      </c>
    </row>
    <row r="24">
      <c r="A24" s="5" t="inlineStr">
        <is>
          <t>Énergie</t>
        </is>
      </c>
      <c r="B24" s="45" t="n">
        <v>2227</v>
      </c>
      <c r="C24" s="45" t="n">
        <v>0</v>
      </c>
      <c r="D24" s="45" t="n">
        <v>0</v>
      </c>
      <c r="E24" s="45" t="n">
        <v>2227</v>
      </c>
      <c r="F24" s="45" t="n">
        <v>0</v>
      </c>
      <c r="G24" s="45" t="n">
        <v>0</v>
      </c>
      <c r="H24" s="45" t="n">
        <v>2227</v>
      </c>
      <c r="I24" s="45" t="n">
        <v>0</v>
      </c>
      <c r="J24" s="45" t="n">
        <v>0</v>
      </c>
      <c r="K24" s="45" t="n">
        <v>2227</v>
      </c>
      <c r="L24" s="45" t="n">
        <v>0</v>
      </c>
      <c r="M24" s="45" t="n">
        <v>0</v>
      </c>
      <c r="N24" s="35" t="n">
        <v>8908</v>
      </c>
    </row>
    <row r="25">
      <c r="A25" s="5" t="inlineStr">
        <is>
          <t>Impôts &amp; taxes</t>
        </is>
      </c>
      <c r="B25" s="45" t="n">
        <v>0</v>
      </c>
      <c r="C25" s="45" t="n">
        <v>11944</v>
      </c>
      <c r="D25" s="45" t="n">
        <v>13650</v>
      </c>
      <c r="E25" s="45" t="n">
        <v>17062</v>
      </c>
      <c r="F25" s="45" t="n">
        <v>17062</v>
      </c>
      <c r="G25" s="45" t="n">
        <v>17062</v>
      </c>
      <c r="H25" s="45" t="n">
        <v>10238</v>
      </c>
      <c r="I25" s="45" t="n">
        <v>11944</v>
      </c>
      <c r="J25" s="45" t="n">
        <v>11944</v>
      </c>
      <c r="K25" s="45" t="n">
        <v>15356</v>
      </c>
      <c r="L25" s="45" t="n">
        <v>15356</v>
      </c>
      <c r="M25" s="45" t="n">
        <v>17062</v>
      </c>
      <c r="N25" s="35" t="n">
        <v>158680</v>
      </c>
    </row>
    <row r="26">
      <c r="A26" s="5" t="inlineStr">
        <is>
          <t>TVA</t>
        </is>
      </c>
      <c r="B26" s="44" t="n">
        <v>2599</v>
      </c>
      <c r="C26" s="44" t="n">
        <v>2599</v>
      </c>
      <c r="D26" s="44" t="n">
        <v>2599</v>
      </c>
      <c r="E26" s="44" t="n">
        <v>2599</v>
      </c>
      <c r="F26" s="44" t="n">
        <v>2599</v>
      </c>
      <c r="G26" s="44" t="n">
        <v>2599</v>
      </c>
      <c r="H26" s="44" t="n">
        <v>2599</v>
      </c>
      <c r="I26" s="44" t="n">
        <v>2599</v>
      </c>
      <c r="J26" s="44" t="n">
        <v>2599</v>
      </c>
      <c r="K26" s="44" t="n">
        <v>2599</v>
      </c>
      <c r="L26" s="44" t="n">
        <v>2599</v>
      </c>
      <c r="M26" s="44" t="n">
        <v>2599</v>
      </c>
      <c r="N26" s="41" t="n">
        <v>31188</v>
      </c>
    </row>
    <row r="27">
      <c r="A27" s="5" t="inlineStr">
        <is>
          <t>Remboursement emprunt</t>
        </is>
      </c>
      <c r="B27" s="46" t="n">
        <v>0</v>
      </c>
      <c r="C27" s="46" t="n">
        <v>0</v>
      </c>
      <c r="D27" s="46" t="n">
        <v>0</v>
      </c>
      <c r="E27" s="46" t="n">
        <v>0</v>
      </c>
      <c r="F27" s="46" t="n">
        <v>0</v>
      </c>
      <c r="G27" s="46" t="n">
        <v>0</v>
      </c>
      <c r="H27" s="46" t="n">
        <v>0</v>
      </c>
      <c r="I27" s="46" t="n">
        <v>0</v>
      </c>
      <c r="J27" s="46" t="n">
        <v>0</v>
      </c>
      <c r="K27" s="46" t="n">
        <v>0</v>
      </c>
      <c r="L27" s="46" t="n">
        <v>0</v>
      </c>
      <c r="M27" s="46" t="n">
        <v>0</v>
      </c>
      <c r="N27" s="47" t="n">
        <v>0</v>
      </c>
    </row>
    <row r="28">
      <c r="A28" s="5" t="inlineStr">
        <is>
          <t>Investissements</t>
        </is>
      </c>
      <c r="B28" s="48" t="n">
        <v>87743</v>
      </c>
      <c r="C28" s="48" t="n">
        <v>97460</v>
      </c>
      <c r="D28" s="48" t="n">
        <v>111011</v>
      </c>
      <c r="E28" s="48" t="n">
        <v>140339</v>
      </c>
      <c r="F28" s="48" t="n">
        <v>138112</v>
      </c>
      <c r="G28" s="48" t="n">
        <v>138112</v>
      </c>
      <c r="H28" s="48" t="n">
        <v>86137</v>
      </c>
      <c r="I28" s="48" t="n">
        <v>97460</v>
      </c>
      <c r="J28" s="48" t="n">
        <v>97460</v>
      </c>
      <c r="K28" s="48" t="n">
        <v>126788</v>
      </c>
      <c r="L28" s="48" t="n">
        <v>124561</v>
      </c>
      <c r="M28" s="48" t="n">
        <v>138112</v>
      </c>
      <c r="N28" s="49" t="n">
        <v>1383295</v>
      </c>
    </row>
    <row r="29">
      <c r="A29" s="5" t="inlineStr">
        <is>
          <t>TOTAL DÉCAISSEMENTS</t>
        </is>
      </c>
      <c r="B29" s="48" t="n">
        <v>-192743</v>
      </c>
      <c r="C29" s="48" t="n">
        <v>-290203</v>
      </c>
      <c r="D29" s="48" t="n">
        <v>-290964</v>
      </c>
      <c r="E29" s="48" t="n">
        <v>-321053</v>
      </c>
      <c r="F29" s="48" t="n">
        <v>-333165</v>
      </c>
      <c r="G29" s="48" t="n">
        <v>-313777</v>
      </c>
      <c r="H29" s="48" t="n">
        <v>-242414</v>
      </c>
      <c r="I29" s="48" t="n">
        <v>-182374</v>
      </c>
      <c r="J29" s="48" t="n">
        <v>-185334</v>
      </c>
      <c r="K29" s="48" t="n">
        <v>-201872</v>
      </c>
      <c r="L29" s="48" t="n">
        <v>-216183</v>
      </c>
      <c r="M29" s="48" t="n">
        <v>-212545</v>
      </c>
      <c r="N29" s="49" t="n">
        <v>-212545</v>
      </c>
    </row>
    <row r="30">
      <c r="A30" s="5" t="inlineStr">
        <is>
          <t>TRÉSORERIE NETTE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30" t="inlineStr">
        <is>
          <t>OPTIMISTE</t>
        </is>
      </c>
    </row>
    <row r="32">
      <c r="A32" s="19" t="inlineStr">
        <is>
          <t>Indicateur</t>
        </is>
      </c>
      <c r="B32" s="19" t="inlineStr">
        <is>
          <t>Jan</t>
        </is>
      </c>
      <c r="C32" s="19" t="inlineStr">
        <is>
          <t>Fév</t>
        </is>
      </c>
      <c r="D32" s="19" t="inlineStr">
        <is>
          <t>Mars</t>
        </is>
      </c>
      <c r="E32" s="19" t="inlineStr">
        <is>
          <t>Avr</t>
        </is>
      </c>
      <c r="F32" s="19" t="inlineStr">
        <is>
          <t>Mai</t>
        </is>
      </c>
      <c r="G32" s="19" t="inlineStr">
        <is>
          <t>Juin</t>
        </is>
      </c>
      <c r="H32" s="19" t="inlineStr">
        <is>
          <t>Juil</t>
        </is>
      </c>
      <c r="I32" s="19" t="inlineStr">
        <is>
          <t>Août</t>
        </is>
      </c>
      <c r="J32" s="19" t="inlineStr">
        <is>
          <t>Sep</t>
        </is>
      </c>
      <c r="K32" s="19" t="inlineStr">
        <is>
          <t>Oct</t>
        </is>
      </c>
      <c r="L32" s="19" t="inlineStr">
        <is>
          <t>Nov</t>
        </is>
      </c>
      <c r="M32" s="19" t="inlineStr">
        <is>
          <t>Déc</t>
        </is>
      </c>
      <c r="N32" s="20" t="inlineStr">
        <is>
          <t>TOTAL</t>
        </is>
      </c>
    </row>
    <row r="33">
      <c r="A33" s="5" t="inlineStr">
        <is>
          <t>Encaissements clients</t>
        </is>
      </c>
      <c r="B33" s="25" t="n">
        <v>0</v>
      </c>
      <c r="C33" s="25" t="n">
        <v>0</v>
      </c>
      <c r="D33" s="25" t="n">
        <v>115500</v>
      </c>
      <c r="E33" s="25" t="n">
        <v>115500</v>
      </c>
      <c r="F33" s="25" t="n">
        <v>132000</v>
      </c>
      <c r="G33" s="25" t="n">
        <v>165000</v>
      </c>
      <c r="H33" s="25" t="n">
        <v>165000</v>
      </c>
      <c r="I33" s="25" t="n">
        <v>165000</v>
      </c>
      <c r="J33" s="25" t="n">
        <v>99000</v>
      </c>
      <c r="K33" s="25" t="n">
        <v>115500</v>
      </c>
      <c r="L33" s="25" t="n">
        <v>115500</v>
      </c>
      <c r="M33" s="25" t="n">
        <v>148500</v>
      </c>
      <c r="N33" s="26" t="n">
        <v>1336500</v>
      </c>
    </row>
    <row r="34">
      <c r="A34" s="5" t="inlineStr">
        <is>
          <t>Décaissements matières</t>
        </is>
      </c>
      <c r="B34" s="42" t="n">
        <v>49172</v>
      </c>
      <c r="C34" s="42" t="n">
        <v>49172</v>
      </c>
      <c r="D34" s="42" t="n">
        <v>56197</v>
      </c>
      <c r="E34" s="42" t="n">
        <v>70246</v>
      </c>
      <c r="F34" s="42" t="n">
        <v>70246</v>
      </c>
      <c r="G34" s="42" t="n">
        <v>70246</v>
      </c>
      <c r="H34" s="42" t="n">
        <v>42148</v>
      </c>
      <c r="I34" s="42" t="n">
        <v>49172</v>
      </c>
      <c r="J34" s="42" t="n">
        <v>49172</v>
      </c>
      <c r="K34" s="42" t="n">
        <v>63221</v>
      </c>
      <c r="L34" s="42" t="n">
        <v>63221</v>
      </c>
      <c r="M34" s="42" t="n">
        <v>70246</v>
      </c>
      <c r="N34" s="37" t="n">
        <v>702459</v>
      </c>
    </row>
    <row r="35">
      <c r="A35" s="5" t="inlineStr">
        <is>
          <t>Décaissements emballages</t>
        </is>
      </c>
      <c r="B35" s="43" t="n">
        <v>2503</v>
      </c>
      <c r="C35" s="43" t="n">
        <v>2503</v>
      </c>
      <c r="D35" s="43" t="n">
        <v>2860</v>
      </c>
      <c r="E35" s="43" t="n">
        <v>3575</v>
      </c>
      <c r="F35" s="43" t="n">
        <v>3575</v>
      </c>
      <c r="G35" s="43" t="n">
        <v>3575</v>
      </c>
      <c r="H35" s="43" t="n">
        <v>2145</v>
      </c>
      <c r="I35" s="43" t="n">
        <v>2503</v>
      </c>
      <c r="J35" s="43" t="n">
        <v>2503</v>
      </c>
      <c r="K35" s="43" t="n">
        <v>3218</v>
      </c>
      <c r="L35" s="43" t="n">
        <v>3218</v>
      </c>
      <c r="M35" s="43" t="n">
        <v>3575</v>
      </c>
      <c r="N35" s="33" t="n">
        <v>35753</v>
      </c>
    </row>
    <row r="36">
      <c r="A36" s="5" t="inlineStr">
        <is>
          <t>Salaires</t>
        </is>
      </c>
      <c r="B36" s="44" t="n">
        <v>27840</v>
      </c>
      <c r="C36" s="44" t="n">
        <v>27840</v>
      </c>
      <c r="D36" s="44" t="n">
        <v>31817</v>
      </c>
      <c r="E36" s="44" t="n">
        <v>39771</v>
      </c>
      <c r="F36" s="44" t="n">
        <v>39771</v>
      </c>
      <c r="G36" s="44" t="n">
        <v>39771</v>
      </c>
      <c r="H36" s="44" t="n">
        <v>23863</v>
      </c>
      <c r="I36" s="44" t="n">
        <v>27840</v>
      </c>
      <c r="J36" s="44" t="n">
        <v>27840</v>
      </c>
      <c r="K36" s="44" t="n">
        <v>35794</v>
      </c>
      <c r="L36" s="44" t="n">
        <v>35794</v>
      </c>
      <c r="M36" s="44" t="n">
        <v>39771</v>
      </c>
      <c r="N36" s="41" t="n">
        <v>397712</v>
      </c>
    </row>
    <row r="37">
      <c r="A37" s="5" t="inlineStr">
        <is>
          <t>Charges sociales</t>
        </is>
      </c>
      <c r="B37" s="43" t="n">
        <v>4095</v>
      </c>
      <c r="C37" s="43" t="n">
        <v>4095</v>
      </c>
      <c r="D37" s="43" t="n">
        <v>4680</v>
      </c>
      <c r="E37" s="43" t="n">
        <v>5850</v>
      </c>
      <c r="F37" s="43" t="n">
        <v>5850</v>
      </c>
      <c r="G37" s="43" t="n">
        <v>5850</v>
      </c>
      <c r="H37" s="43" t="n">
        <v>3510</v>
      </c>
      <c r="I37" s="43" t="n">
        <v>4095</v>
      </c>
      <c r="J37" s="43" t="n">
        <v>4095</v>
      </c>
      <c r="K37" s="43" t="n">
        <v>5265</v>
      </c>
      <c r="L37" s="43" t="n">
        <v>5265</v>
      </c>
      <c r="M37" s="43" t="n">
        <v>5850</v>
      </c>
      <c r="N37" s="33" t="n">
        <v>58500</v>
      </c>
    </row>
    <row r="38">
      <c r="A38" s="5" t="inlineStr">
        <is>
          <t>Énergie</t>
        </is>
      </c>
      <c r="B38" s="45" t="n">
        <v>5398</v>
      </c>
      <c r="C38" s="45" t="n">
        <v>0</v>
      </c>
      <c r="D38" s="45" t="n">
        <v>0</v>
      </c>
      <c r="E38" s="45" t="n">
        <v>5398</v>
      </c>
      <c r="F38" s="45" t="n">
        <v>0</v>
      </c>
      <c r="G38" s="45" t="n">
        <v>0</v>
      </c>
      <c r="H38" s="45" t="n">
        <v>5398</v>
      </c>
      <c r="I38" s="45" t="n">
        <v>0</v>
      </c>
      <c r="J38" s="45" t="n">
        <v>0</v>
      </c>
      <c r="K38" s="45" t="n">
        <v>5398</v>
      </c>
      <c r="L38" s="45" t="n">
        <v>0</v>
      </c>
      <c r="M38" s="45" t="n">
        <v>0</v>
      </c>
      <c r="N38" s="35" t="n">
        <v>21592</v>
      </c>
    </row>
    <row r="39">
      <c r="A39" s="5" t="inlineStr">
        <is>
          <t>Impôts &amp; taxes</t>
        </is>
      </c>
      <c r="B39" s="45" t="n">
        <v>0</v>
      </c>
      <c r="C39" s="45" t="n">
        <v>12513</v>
      </c>
      <c r="D39" s="45" t="n">
        <v>14300</v>
      </c>
      <c r="E39" s="45" t="n">
        <v>17875</v>
      </c>
      <c r="F39" s="45" t="n">
        <v>17875</v>
      </c>
      <c r="G39" s="45" t="n">
        <v>17875</v>
      </c>
      <c r="H39" s="45" t="n">
        <v>10725</v>
      </c>
      <c r="I39" s="45" t="n">
        <v>12513</v>
      </c>
      <c r="J39" s="45" t="n">
        <v>12513</v>
      </c>
      <c r="K39" s="45" t="n">
        <v>16088</v>
      </c>
      <c r="L39" s="45" t="n">
        <v>16088</v>
      </c>
      <c r="M39" s="45" t="n">
        <v>17875</v>
      </c>
      <c r="N39" s="35" t="n">
        <v>166240</v>
      </c>
    </row>
    <row r="40">
      <c r="A40" s="5" t="inlineStr">
        <is>
          <t>TVA</t>
        </is>
      </c>
      <c r="B40" s="44" t="n">
        <v>2599</v>
      </c>
      <c r="C40" s="44" t="n">
        <v>2599</v>
      </c>
      <c r="D40" s="44" t="n">
        <v>2599</v>
      </c>
      <c r="E40" s="44" t="n">
        <v>2599</v>
      </c>
      <c r="F40" s="44" t="n">
        <v>2599</v>
      </c>
      <c r="G40" s="44" t="n">
        <v>2599</v>
      </c>
      <c r="H40" s="44" t="n">
        <v>2599</v>
      </c>
      <c r="I40" s="44" t="n">
        <v>2599</v>
      </c>
      <c r="J40" s="44" t="n">
        <v>2599</v>
      </c>
      <c r="K40" s="44" t="n">
        <v>2599</v>
      </c>
      <c r="L40" s="44" t="n">
        <v>2599</v>
      </c>
      <c r="M40" s="44" t="n">
        <v>2599</v>
      </c>
      <c r="N40" s="41" t="n">
        <v>31188</v>
      </c>
    </row>
    <row r="41">
      <c r="A41" s="5" t="inlineStr">
        <is>
          <t>Remboursement emprunt</t>
        </is>
      </c>
      <c r="B41" s="46" t="n">
        <v>0</v>
      </c>
      <c r="C41" s="46" t="n">
        <v>0</v>
      </c>
      <c r="D41" s="46" t="n">
        <v>0</v>
      </c>
      <c r="E41" s="46" t="n">
        <v>0</v>
      </c>
      <c r="F41" s="46" t="n">
        <v>0</v>
      </c>
      <c r="G41" s="46" t="n">
        <v>0</v>
      </c>
      <c r="H41" s="46" t="n">
        <v>0</v>
      </c>
      <c r="I41" s="46" t="n">
        <v>0</v>
      </c>
      <c r="J41" s="46" t="n">
        <v>0</v>
      </c>
      <c r="K41" s="46" t="n">
        <v>0</v>
      </c>
      <c r="L41" s="46" t="n">
        <v>0</v>
      </c>
      <c r="M41" s="46" t="n">
        <v>0</v>
      </c>
      <c r="N41" s="47" t="n">
        <v>0</v>
      </c>
    </row>
    <row r="42">
      <c r="A42" s="5" t="inlineStr">
        <is>
          <t>Investissements</t>
        </is>
      </c>
      <c r="B42" s="48" t="n">
        <v>91607</v>
      </c>
      <c r="C42" s="48" t="n">
        <v>98722</v>
      </c>
      <c r="D42" s="48" t="n">
        <v>112453</v>
      </c>
      <c r="E42" s="48" t="n">
        <v>145314</v>
      </c>
      <c r="F42" s="48" t="n">
        <v>139916</v>
      </c>
      <c r="G42" s="48" t="n">
        <v>139916</v>
      </c>
      <c r="H42" s="48" t="n">
        <v>90388</v>
      </c>
      <c r="I42" s="48" t="n">
        <v>98722</v>
      </c>
      <c r="J42" s="48" t="n">
        <v>98722</v>
      </c>
      <c r="K42" s="48" t="n">
        <v>131583</v>
      </c>
      <c r="L42" s="48" t="n">
        <v>126185</v>
      </c>
      <c r="M42" s="48" t="n">
        <v>139916</v>
      </c>
      <c r="N42" s="49" t="n">
        <v>1413444</v>
      </c>
    </row>
    <row r="43">
      <c r="A43" s="5" t="inlineStr">
        <is>
          <t>TOTAL DÉCAISSEMENTS</t>
        </is>
      </c>
      <c r="B43" s="48" t="n">
        <v>-196607</v>
      </c>
      <c r="C43" s="48" t="n">
        <v>-295329</v>
      </c>
      <c r="D43" s="48" t="n">
        <v>-292282</v>
      </c>
      <c r="E43" s="48" t="n">
        <v>-322096</v>
      </c>
      <c r="F43" s="48" t="n">
        <v>-330012</v>
      </c>
      <c r="G43" s="48" t="n">
        <v>-304928</v>
      </c>
      <c r="H43" s="48" t="n">
        <v>-230316</v>
      </c>
      <c r="I43" s="48" t="n">
        <v>-164038</v>
      </c>
      <c r="J43" s="48" t="n">
        <v>-163760</v>
      </c>
      <c r="K43" s="48" t="n">
        <v>-179843</v>
      </c>
      <c r="L43" s="48" t="n">
        <v>-190528</v>
      </c>
      <c r="M43" s="48" t="n">
        <v>-181944</v>
      </c>
      <c r="N43" s="49" t="n">
        <v>-181944</v>
      </c>
    </row>
    <row r="44">
      <c r="A44" s="5" t="inlineStr">
        <is>
          <t>TRÉSORERIE NETTE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31" t="inlineStr">
        <is>
          <t>APPRENANT</t>
        </is>
      </c>
    </row>
    <row r="46">
      <c r="A46" s="19" t="inlineStr">
        <is>
          <t>Indicateur</t>
        </is>
      </c>
      <c r="B46" s="19" t="inlineStr">
        <is>
          <t>Jan</t>
        </is>
      </c>
      <c r="C46" s="19" t="inlineStr">
        <is>
          <t>Fév</t>
        </is>
      </c>
      <c r="D46" s="19" t="inlineStr">
        <is>
          <t>Mars</t>
        </is>
      </c>
      <c r="E46" s="19" t="inlineStr">
        <is>
          <t>Avr</t>
        </is>
      </c>
      <c r="F46" s="19" t="inlineStr">
        <is>
          <t>Mai</t>
        </is>
      </c>
      <c r="G46" s="19" t="inlineStr">
        <is>
          <t>Juin</t>
        </is>
      </c>
      <c r="H46" s="19" t="inlineStr">
        <is>
          <t>Juil</t>
        </is>
      </c>
      <c r="I46" s="19" t="inlineStr">
        <is>
          <t>Août</t>
        </is>
      </c>
      <c r="J46" s="19" t="inlineStr">
        <is>
          <t>Sep</t>
        </is>
      </c>
      <c r="K46" s="19" t="inlineStr">
        <is>
          <t>Oct</t>
        </is>
      </c>
      <c r="L46" s="19" t="inlineStr">
        <is>
          <t>Nov</t>
        </is>
      </c>
      <c r="M46" s="19" t="inlineStr">
        <is>
          <t>Déc</t>
        </is>
      </c>
      <c r="N46" s="20" t="inlineStr">
        <is>
          <t>TOTAL</t>
        </is>
      </c>
    </row>
    <row r="47">
      <c r="A47" s="5" t="inlineStr">
        <is>
          <t>Encaissements clients</t>
        </is>
      </c>
      <c r="B47" s="25" t="n">
        <v>0</v>
      </c>
      <c r="C47" s="25" t="n">
        <v>0</v>
      </c>
      <c r="D47" s="25" t="n">
        <v>112350</v>
      </c>
      <c r="E47" s="25" t="n">
        <v>112350</v>
      </c>
      <c r="F47" s="25" t="n">
        <v>128400</v>
      </c>
      <c r="G47" s="25" t="n">
        <v>160500</v>
      </c>
      <c r="H47" s="25" t="n">
        <v>160500</v>
      </c>
      <c r="I47" s="25" t="n">
        <v>160500</v>
      </c>
      <c r="J47" s="25" t="n">
        <v>96300</v>
      </c>
      <c r="K47" s="25" t="n">
        <v>112350</v>
      </c>
      <c r="L47" s="25" t="n">
        <v>112350</v>
      </c>
      <c r="M47" s="25" t="n">
        <v>144450</v>
      </c>
      <c r="N47" s="26" t="n">
        <v>1300050</v>
      </c>
    </row>
    <row r="48">
      <c r="A48" s="5" t="inlineStr">
        <is>
          <t>Décaissements matières</t>
        </is>
      </c>
      <c r="B48" s="42" t="n">
        <v>48992</v>
      </c>
      <c r="C48" s="42" t="n">
        <v>48992</v>
      </c>
      <c r="D48" s="42" t="n">
        <v>55991</v>
      </c>
      <c r="E48" s="42" t="n">
        <v>69989</v>
      </c>
      <c r="F48" s="42" t="n">
        <v>69989</v>
      </c>
      <c r="G48" s="42" t="n">
        <v>69989</v>
      </c>
      <c r="H48" s="42" t="n">
        <v>41993</v>
      </c>
      <c r="I48" s="42" t="n">
        <v>48992</v>
      </c>
      <c r="J48" s="42" t="n">
        <v>48992</v>
      </c>
      <c r="K48" s="42" t="n">
        <v>62990</v>
      </c>
      <c r="L48" s="42" t="n">
        <v>62990</v>
      </c>
      <c r="M48" s="42" t="n">
        <v>69989</v>
      </c>
      <c r="N48" s="37" t="n">
        <v>699888</v>
      </c>
    </row>
    <row r="49">
      <c r="A49" s="5" t="inlineStr">
        <is>
          <t>Décaissements emballages</t>
        </is>
      </c>
      <c r="B49" s="43" t="n">
        <v>2434</v>
      </c>
      <c r="C49" s="43" t="n">
        <v>2434</v>
      </c>
      <c r="D49" s="43" t="n">
        <v>2782</v>
      </c>
      <c r="E49" s="43" t="n">
        <v>3478</v>
      </c>
      <c r="F49" s="43" t="n">
        <v>3478</v>
      </c>
      <c r="G49" s="43" t="n">
        <v>3478</v>
      </c>
      <c r="H49" s="43" t="n">
        <v>2086</v>
      </c>
      <c r="I49" s="43" t="n">
        <v>2434</v>
      </c>
      <c r="J49" s="43" t="n">
        <v>2434</v>
      </c>
      <c r="K49" s="43" t="n">
        <v>3130</v>
      </c>
      <c r="L49" s="43" t="n">
        <v>3130</v>
      </c>
      <c r="M49" s="43" t="n">
        <v>3478</v>
      </c>
      <c r="N49" s="33" t="n">
        <v>34776</v>
      </c>
    </row>
    <row r="50">
      <c r="A50" s="5" t="inlineStr">
        <is>
          <t>Salaires</t>
        </is>
      </c>
      <c r="B50" s="44" t="n">
        <v>27976</v>
      </c>
      <c r="C50" s="44" t="n">
        <v>27976</v>
      </c>
      <c r="D50" s="44" t="n">
        <v>31973</v>
      </c>
      <c r="E50" s="44" t="n">
        <v>39966</v>
      </c>
      <c r="F50" s="44" t="n">
        <v>39966</v>
      </c>
      <c r="G50" s="44" t="n">
        <v>39966</v>
      </c>
      <c r="H50" s="44" t="n">
        <v>23980</v>
      </c>
      <c r="I50" s="44" t="n">
        <v>27976</v>
      </c>
      <c r="J50" s="44" t="n">
        <v>27976</v>
      </c>
      <c r="K50" s="44" t="n">
        <v>35970</v>
      </c>
      <c r="L50" s="44" t="n">
        <v>35970</v>
      </c>
      <c r="M50" s="44" t="n">
        <v>39966</v>
      </c>
      <c r="N50" s="41" t="n">
        <v>399661</v>
      </c>
    </row>
    <row r="51">
      <c r="A51" s="5" t="inlineStr">
        <is>
          <t>Charges sociales</t>
        </is>
      </c>
      <c r="B51" s="43" t="n">
        <v>4129</v>
      </c>
      <c r="C51" s="43" t="n">
        <v>4129</v>
      </c>
      <c r="D51" s="43" t="n">
        <v>4719</v>
      </c>
      <c r="E51" s="43" t="n">
        <v>5898</v>
      </c>
      <c r="F51" s="43" t="n">
        <v>5898</v>
      </c>
      <c r="G51" s="43" t="n">
        <v>5898</v>
      </c>
      <c r="H51" s="43" t="n">
        <v>3539</v>
      </c>
      <c r="I51" s="43" t="n">
        <v>4129</v>
      </c>
      <c r="J51" s="43" t="n">
        <v>4129</v>
      </c>
      <c r="K51" s="43" t="n">
        <v>5309</v>
      </c>
      <c r="L51" s="43" t="n">
        <v>5309</v>
      </c>
      <c r="M51" s="43" t="n">
        <v>5898</v>
      </c>
      <c r="N51" s="33" t="n">
        <v>58984</v>
      </c>
    </row>
    <row r="52">
      <c r="A52" s="5" t="inlineStr">
        <is>
          <t>Énergie</t>
        </is>
      </c>
      <c r="B52" s="45" t="n">
        <v>3188</v>
      </c>
      <c r="C52" s="45" t="n">
        <v>0</v>
      </c>
      <c r="D52" s="45" t="n">
        <v>0</v>
      </c>
      <c r="E52" s="45" t="n">
        <v>3188</v>
      </c>
      <c r="F52" s="45" t="n">
        <v>0</v>
      </c>
      <c r="G52" s="45" t="n">
        <v>0</v>
      </c>
      <c r="H52" s="45" t="n">
        <v>3188</v>
      </c>
      <c r="I52" s="45" t="n">
        <v>0</v>
      </c>
      <c r="J52" s="45" t="n">
        <v>0</v>
      </c>
      <c r="K52" s="45" t="n">
        <v>3188</v>
      </c>
      <c r="L52" s="45" t="n">
        <v>0</v>
      </c>
      <c r="M52" s="45" t="n">
        <v>0</v>
      </c>
      <c r="N52" s="35" t="n">
        <v>12752</v>
      </c>
    </row>
    <row r="53">
      <c r="A53" s="5" t="inlineStr">
        <is>
          <t>Impôts &amp; taxes</t>
        </is>
      </c>
      <c r="B53" s="45" t="n">
        <v>0</v>
      </c>
      <c r="C53" s="45" t="n">
        <v>12171</v>
      </c>
      <c r="D53" s="45" t="n">
        <v>13910</v>
      </c>
      <c r="E53" s="45" t="n">
        <v>17388</v>
      </c>
      <c r="F53" s="45" t="n">
        <v>17388</v>
      </c>
      <c r="G53" s="45" t="n">
        <v>17388</v>
      </c>
      <c r="H53" s="45" t="n">
        <v>10432</v>
      </c>
      <c r="I53" s="45" t="n">
        <v>12171</v>
      </c>
      <c r="J53" s="45" t="n">
        <v>12171</v>
      </c>
      <c r="K53" s="45" t="n">
        <v>15649</v>
      </c>
      <c r="L53" s="45" t="n">
        <v>15649</v>
      </c>
      <c r="M53" s="45" t="n">
        <v>17388</v>
      </c>
      <c r="N53" s="35" t="n">
        <v>161705</v>
      </c>
    </row>
    <row r="54">
      <c r="A54" s="5" t="inlineStr">
        <is>
          <t>TVA</t>
        </is>
      </c>
      <c r="B54" s="44" t="n">
        <v>2599</v>
      </c>
      <c r="C54" s="44" t="n">
        <v>2599</v>
      </c>
      <c r="D54" s="44" t="n">
        <v>2599</v>
      </c>
      <c r="E54" s="44" t="n">
        <v>2599</v>
      </c>
      <c r="F54" s="44" t="n">
        <v>2599</v>
      </c>
      <c r="G54" s="44" t="n">
        <v>2599</v>
      </c>
      <c r="H54" s="44" t="n">
        <v>2599</v>
      </c>
      <c r="I54" s="44" t="n">
        <v>2599</v>
      </c>
      <c r="J54" s="44" t="n">
        <v>2599</v>
      </c>
      <c r="K54" s="44" t="n">
        <v>2599</v>
      </c>
      <c r="L54" s="44" t="n">
        <v>2599</v>
      </c>
      <c r="M54" s="44" t="n">
        <v>2599</v>
      </c>
      <c r="N54" s="41" t="n">
        <v>31188</v>
      </c>
    </row>
    <row r="55">
      <c r="A55" s="5" t="inlineStr">
        <is>
          <t>Remboursement emprunt</t>
        </is>
      </c>
      <c r="B55" s="46" t="n">
        <v>0</v>
      </c>
      <c r="C55" s="46" t="n">
        <v>0</v>
      </c>
      <c r="D55" s="46" t="n">
        <v>0</v>
      </c>
      <c r="E55" s="46" t="n">
        <v>0</v>
      </c>
      <c r="F55" s="46" t="n">
        <v>0</v>
      </c>
      <c r="G55" s="46" t="n">
        <v>0</v>
      </c>
      <c r="H55" s="46" t="n">
        <v>0</v>
      </c>
      <c r="I55" s="46" t="n">
        <v>0</v>
      </c>
      <c r="J55" s="46" t="n">
        <v>0</v>
      </c>
      <c r="K55" s="46" t="n">
        <v>0</v>
      </c>
      <c r="L55" s="46" t="n">
        <v>0</v>
      </c>
      <c r="M55" s="46" t="n">
        <v>0</v>
      </c>
      <c r="N55" s="47" t="n">
        <v>0</v>
      </c>
    </row>
    <row r="56">
      <c r="A56" s="5" t="inlineStr">
        <is>
          <t>Investissements</t>
        </is>
      </c>
      <c r="B56" s="48" t="n">
        <v>89318</v>
      </c>
      <c r="C56" s="48" t="n">
        <v>98301</v>
      </c>
      <c r="D56" s="48" t="n">
        <v>111974</v>
      </c>
      <c r="E56" s="48" t="n">
        <v>142506</v>
      </c>
      <c r="F56" s="48" t="n">
        <v>139318</v>
      </c>
      <c r="G56" s="48" t="n">
        <v>139318</v>
      </c>
      <c r="H56" s="48" t="n">
        <v>87817</v>
      </c>
      <c r="I56" s="48" t="n">
        <v>98301</v>
      </c>
      <c r="J56" s="48" t="n">
        <v>98301</v>
      </c>
      <c r="K56" s="48" t="n">
        <v>128835</v>
      </c>
      <c r="L56" s="48" t="n">
        <v>125647</v>
      </c>
      <c r="M56" s="48" t="n">
        <v>139318</v>
      </c>
      <c r="N56" s="49" t="n">
        <v>1398954</v>
      </c>
    </row>
    <row r="57">
      <c r="A57" s="5" t="inlineStr">
        <is>
          <t>TOTAL DÉCAISSEMENTS</t>
        </is>
      </c>
      <c r="B57" s="48" t="n">
        <v>-194318</v>
      </c>
      <c r="C57" s="48" t="n">
        <v>-292619</v>
      </c>
      <c r="D57" s="48" t="n">
        <v>-292243</v>
      </c>
      <c r="E57" s="48" t="n">
        <v>-322399</v>
      </c>
      <c r="F57" s="48" t="n">
        <v>-333317</v>
      </c>
      <c r="G57" s="48" t="n">
        <v>-312135</v>
      </c>
      <c r="H57" s="48" t="n">
        <v>-239452</v>
      </c>
      <c r="I57" s="48" t="n">
        <v>-177253</v>
      </c>
      <c r="J57" s="48" t="n">
        <v>-179254</v>
      </c>
      <c r="K57" s="48" t="n">
        <v>-195739</v>
      </c>
      <c r="L57" s="48" t="n">
        <v>-209036</v>
      </c>
      <c r="M57" s="48" t="n">
        <v>-203904</v>
      </c>
      <c r="N57" s="49" t="n">
        <v>-203904</v>
      </c>
    </row>
    <row r="58">
      <c r="A58" s="5" t="inlineStr">
        <is>
          <t>TRÉSORERIE NETTE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ANALYSE DES ÉCARTS</t>
        </is>
      </c>
    </row>
    <row r="3">
      <c r="A3" s="2" t="inlineStr">
        <is>
          <t>Indicateur</t>
        </is>
      </c>
      <c r="B3" s="45" t="n">
        <v>1312500</v>
      </c>
      <c r="C3" s="45" t="n">
        <v>1187500</v>
      </c>
      <c r="D3" s="50" t="n">
        <v>-125000</v>
      </c>
      <c r="E3" s="51" t="n">
        <v>-0.09523809523809523</v>
      </c>
    </row>
    <row r="4">
      <c r="A4" s="6" t="inlineStr">
        <is>
          <t>CA</t>
        </is>
      </c>
      <c r="B4" s="44" t="n">
        <v>690060</v>
      </c>
      <c r="C4" s="44" t="n">
        <v>745955</v>
      </c>
      <c r="D4" s="50" t="n">
        <v>55895</v>
      </c>
      <c r="E4" s="51" t="n">
        <v>0.08100020288090891</v>
      </c>
    </row>
    <row r="5">
      <c r="A5" s="6" t="inlineStr">
        <is>
          <t>Matières premières</t>
        </is>
      </c>
      <c r="B5" s="45" t="n">
        <v>34125</v>
      </c>
      <c r="C5" s="45" t="n">
        <v>32624</v>
      </c>
      <c r="D5" s="52" t="n">
        <v>-1501</v>
      </c>
      <c r="E5" s="53" t="n">
        <v>-0.04398534798534798</v>
      </c>
    </row>
    <row r="6">
      <c r="A6" s="6" t="inlineStr">
        <is>
          <t>Emballages</t>
        </is>
      </c>
      <c r="B6" s="44" t="n">
        <v>389914</v>
      </c>
      <c r="C6" s="44" t="n">
        <v>387575</v>
      </c>
      <c r="D6" s="52" t="n">
        <v>-2339</v>
      </c>
      <c r="E6" s="53" t="n">
        <v>-0.00599875870063655</v>
      </c>
    </row>
    <row r="7">
      <c r="A7" s="6" t="inlineStr">
        <is>
          <t>Main d'œuvre</t>
        </is>
      </c>
      <c r="B7" s="45" t="n">
        <v>58725</v>
      </c>
      <c r="C7" s="45" t="n">
        <v>67534</v>
      </c>
      <c r="D7" s="50" t="n">
        <v>8809</v>
      </c>
      <c r="E7" s="51" t="n">
        <v>0.1500042571306939</v>
      </c>
    </row>
    <row r="8">
      <c r="A8" s="6" t="inlineStr">
        <is>
          <t>Charges énergie</t>
        </is>
      </c>
      <c r="B8" s="44" t="n">
        <v>170625</v>
      </c>
      <c r="C8" s="44" t="n">
        <v>154375</v>
      </c>
      <c r="D8" s="52" t="n">
        <v>-16250</v>
      </c>
      <c r="E8" s="53" t="n">
        <v>-0.09523809523809523</v>
      </c>
    </row>
    <row r="9">
      <c r="A9" s="6" t="inlineStr">
        <is>
          <t>TVA</t>
        </is>
      </c>
      <c r="B9" s="45" t="n">
        <v>-15000</v>
      </c>
      <c r="C9" s="45" t="n">
        <v>-38000</v>
      </c>
      <c r="D9" s="50" t="n">
        <v>-23000</v>
      </c>
      <c r="E9" s="51" t="n">
        <v>1.533333333333333</v>
      </c>
    </row>
    <row r="10">
      <c r="A10" s="6" t="inlineStr">
        <is>
          <t>Trésorerie</t>
        </is>
      </c>
      <c r="B10" s="44" t="n">
        <v>26730</v>
      </c>
      <c r="C10" s="44" t="n">
        <v>47000</v>
      </c>
      <c r="D10" s="52" t="n">
        <v>20270</v>
      </c>
      <c r="E10" s="53" t="n">
        <v>0.7583239805462028</v>
      </c>
    </row>
    <row r="11">
      <c r="A11" s="6" t="inlineStr">
        <is>
          <t>Résultat</t>
        </is>
      </c>
      <c r="B11" s="6" t="n"/>
      <c r="C11" s="6" t="n"/>
      <c r="D11" s="6">
        <f>C11-B11</f>
        <v/>
      </c>
      <c r="E11" s="6">
        <f>IF(B11=0,0,D11/B11)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FORECAST &amp; BUDGET RÉVISÉ</t>
        </is>
      </c>
    </row>
    <row r="2">
      <c r="A2" s="54" t="inlineStr">
        <is>
          <t>⚠ Hypothèses révisées après écarts structurels constatés · Délais clients négociés à la baisse selon scénario</t>
        </is>
      </c>
    </row>
    <row r="3">
      <c r="A3" s="55" t="inlineStr">
        <is>
          <t>PRUDENT — Aucune action — situation empire</t>
        </is>
      </c>
    </row>
    <row r="4">
      <c r="A4" s="19" t="inlineStr">
        <is>
          <t>Indicateur</t>
        </is>
      </c>
      <c r="B4" s="19" t="inlineStr">
        <is>
          <t>Jan</t>
        </is>
      </c>
      <c r="C4" s="19" t="inlineStr">
        <is>
          <t>Fév</t>
        </is>
      </c>
      <c r="D4" s="19" t="inlineStr">
        <is>
          <t>Mars</t>
        </is>
      </c>
      <c r="E4" s="19" t="inlineStr">
        <is>
          <t>Avr</t>
        </is>
      </c>
      <c r="F4" s="19" t="inlineStr">
        <is>
          <t>Mai</t>
        </is>
      </c>
      <c r="G4" s="19" t="inlineStr">
        <is>
          <t>Juin</t>
        </is>
      </c>
      <c r="H4" s="19" t="inlineStr">
        <is>
          <t>Juil</t>
        </is>
      </c>
      <c r="I4" s="19" t="inlineStr">
        <is>
          <t>Août</t>
        </is>
      </c>
      <c r="J4" s="19" t="inlineStr">
        <is>
          <t>Sep</t>
        </is>
      </c>
      <c r="K4" s="19" t="inlineStr">
        <is>
          <t>Oct</t>
        </is>
      </c>
      <c r="L4" s="19" t="inlineStr">
        <is>
          <t>Nov</t>
        </is>
      </c>
      <c r="M4" s="19" t="inlineStr">
        <is>
          <t>Déc</t>
        </is>
      </c>
      <c r="N4" s="20" t="inlineStr">
        <is>
          <t>TOTAL</t>
        </is>
      </c>
    </row>
    <row r="5">
      <c r="A5" s="61" t="inlineStr">
        <is>
          <t>CA révisé (facturé)</t>
        </is>
      </c>
      <c r="B5" s="25" t="n">
        <v>88375</v>
      </c>
      <c r="C5" s="25" t="n">
        <v>88375</v>
      </c>
      <c r="D5" s="25" t="n">
        <v>101000</v>
      </c>
      <c r="E5" s="25" t="n">
        <v>126250</v>
      </c>
      <c r="F5" s="25" t="n">
        <v>126250</v>
      </c>
      <c r="G5" s="25" t="n">
        <v>126250</v>
      </c>
      <c r="H5" s="25" t="n">
        <v>75750</v>
      </c>
      <c r="I5" s="25" t="n">
        <v>88375</v>
      </c>
      <c r="J5" s="25" t="n">
        <v>88375</v>
      </c>
      <c r="K5" s="25" t="n">
        <v>113625</v>
      </c>
      <c r="L5" s="25" t="n">
        <v>113625</v>
      </c>
      <c r="M5" s="25" t="n">
        <v>126250</v>
      </c>
      <c r="N5" s="26" t="n">
        <v>1262500</v>
      </c>
    </row>
    <row r="6">
      <c r="A6" s="61" t="inlineStr">
        <is>
          <t>Charges décaissées</t>
        </is>
      </c>
      <c r="B6" s="36" t="n">
        <v>82903</v>
      </c>
      <c r="C6" s="36" t="n">
        <v>94392</v>
      </c>
      <c r="D6" s="36" t="n">
        <v>107547</v>
      </c>
      <c r="E6" s="36" t="n">
        <v>133858</v>
      </c>
      <c r="F6" s="36" t="n">
        <v>133858</v>
      </c>
      <c r="G6" s="36" t="n">
        <v>133858</v>
      </c>
      <c r="H6" s="36" t="n">
        <v>81237</v>
      </c>
      <c r="I6" s="36" t="n">
        <v>94392</v>
      </c>
      <c r="J6" s="36" t="n">
        <v>94392</v>
      </c>
      <c r="K6" s="36" t="n">
        <v>120703</v>
      </c>
      <c r="L6" s="36" t="n">
        <v>120703</v>
      </c>
      <c r="M6" s="36" t="n">
        <v>133858</v>
      </c>
      <c r="N6" s="37" t="n">
        <v>1331701</v>
      </c>
    </row>
    <row r="7">
      <c r="A7" s="62" t="inlineStr">
        <is>
          <t>Marge flux réels (Encaiss. − Déc.)</t>
        </is>
      </c>
      <c r="B7" s="36" t="n">
        <v>-27903</v>
      </c>
      <c r="C7" s="36" t="n">
        <v>-39392</v>
      </c>
      <c r="D7" s="36" t="n">
        <v>-1497</v>
      </c>
      <c r="E7" s="36" t="n">
        <v>-27808</v>
      </c>
      <c r="F7" s="36" t="n">
        <v>-12658</v>
      </c>
      <c r="G7" s="25" t="n">
        <v>17642</v>
      </c>
      <c r="H7" s="25" t="n">
        <v>70263</v>
      </c>
      <c r="I7" s="25" t="n">
        <v>57108</v>
      </c>
      <c r="J7" s="36" t="n">
        <v>-3492</v>
      </c>
      <c r="K7" s="36" t="n">
        <v>-14653</v>
      </c>
      <c r="L7" s="36" t="n">
        <v>-14653</v>
      </c>
      <c r="M7" s="25" t="n">
        <v>2492</v>
      </c>
      <c r="N7" s="26" t="n">
        <v>5449</v>
      </c>
    </row>
    <row r="8">
      <c r="A8" s="61" t="inlineStr">
        <is>
          <t>IS estimé (−)</t>
        </is>
      </c>
      <c r="B8" s="63" t="n">
        <v>-1368</v>
      </c>
      <c r="C8" s="45" t="n">
        <v>0</v>
      </c>
      <c r="D8" s="45" t="n">
        <v>0</v>
      </c>
      <c r="E8" s="45" t="n">
        <v>0</v>
      </c>
      <c r="F8" s="45" t="n">
        <v>0</v>
      </c>
      <c r="G8" s="45" t="n">
        <v>0</v>
      </c>
      <c r="H8" s="45" t="n">
        <v>0</v>
      </c>
      <c r="I8" s="45" t="n">
        <v>0</v>
      </c>
      <c r="J8" s="45" t="n">
        <v>0</v>
      </c>
      <c r="K8" s="45" t="n">
        <v>0</v>
      </c>
      <c r="L8" s="45" t="n">
        <v>0</v>
      </c>
      <c r="M8" s="45" t="n">
        <v>0</v>
      </c>
      <c r="N8" s="35" t="n">
        <v>0</v>
      </c>
    </row>
    <row r="9">
      <c r="A9" s="62" t="inlineStr">
        <is>
          <t>Résultat net</t>
        </is>
      </c>
      <c r="B9" s="25" t="n">
        <v>4104</v>
      </c>
      <c r="C9" s="36" t="n">
        <v>-6017</v>
      </c>
      <c r="D9" s="36" t="n">
        <v>-6547</v>
      </c>
      <c r="E9" s="36" t="n">
        <v>-7608</v>
      </c>
      <c r="F9" s="36" t="n">
        <v>-7608</v>
      </c>
      <c r="G9" s="36" t="n">
        <v>-7608</v>
      </c>
      <c r="H9" s="36" t="n">
        <v>-5487</v>
      </c>
      <c r="I9" s="36" t="n">
        <v>-6017</v>
      </c>
      <c r="J9" s="36" t="n">
        <v>-6017</v>
      </c>
      <c r="K9" s="36" t="n">
        <v>-7078</v>
      </c>
      <c r="L9" s="36" t="n">
        <v>-7078</v>
      </c>
      <c r="M9" s="36" t="n">
        <v>-7608</v>
      </c>
      <c r="N9" s="37" t="n">
        <v>-16524</v>
      </c>
    </row>
    <row r="10">
      <c r="A10" s="64" t="inlineStr">
        <is>
          <t>Trésorerie cumulée</t>
        </is>
      </c>
      <c r="B10" s="37" t="n">
        <v>-132903</v>
      </c>
      <c r="C10" s="37" t="n">
        <v>-172295</v>
      </c>
      <c r="D10" s="37" t="n">
        <v>-173792</v>
      </c>
      <c r="E10" s="37" t="n">
        <v>-201600</v>
      </c>
      <c r="F10" s="37" t="n">
        <v>-214258</v>
      </c>
      <c r="G10" s="37" t="n">
        <v>-196616</v>
      </c>
      <c r="H10" s="37" t="n">
        <v>-126353</v>
      </c>
      <c r="I10" s="37" t="n">
        <v>-69245</v>
      </c>
      <c r="J10" s="37" t="n">
        <v>-72737</v>
      </c>
      <c r="K10" s="37" t="n">
        <v>-87390</v>
      </c>
      <c r="L10" s="37" t="n">
        <v>-102043</v>
      </c>
      <c r="M10" s="37" t="n">
        <v>-99551</v>
      </c>
      <c r="N10" s="37" t="n">
        <v>-99551</v>
      </c>
    </row>
    <row r="17">
      <c r="A17" s="56" t="inlineStr">
        <is>
          <t>RÉALISTE — Renégo matières + délais clients réduits à 55j</t>
        </is>
      </c>
    </row>
    <row r="18">
      <c r="A18" s="19" t="inlineStr">
        <is>
          <t>Indicateur</t>
        </is>
      </c>
      <c r="B18" s="19" t="inlineStr">
        <is>
          <t>Jan</t>
        </is>
      </c>
      <c r="C18" s="19" t="inlineStr">
        <is>
          <t>Fév</t>
        </is>
      </c>
      <c r="D18" s="19" t="inlineStr">
        <is>
          <t>Mars</t>
        </is>
      </c>
      <c r="E18" s="19" t="inlineStr">
        <is>
          <t>Avr</t>
        </is>
      </c>
      <c r="F18" s="19" t="inlineStr">
        <is>
          <t>Mai</t>
        </is>
      </c>
      <c r="G18" s="19" t="inlineStr">
        <is>
          <t>Juin</t>
        </is>
      </c>
      <c r="H18" s="19" t="inlineStr">
        <is>
          <t>Juil</t>
        </is>
      </c>
      <c r="I18" s="19" t="inlineStr">
        <is>
          <t>Août</t>
        </is>
      </c>
      <c r="J18" s="19" t="inlineStr">
        <is>
          <t>Sep</t>
        </is>
      </c>
      <c r="K18" s="19" t="inlineStr">
        <is>
          <t>Oct</t>
        </is>
      </c>
      <c r="L18" s="19" t="inlineStr">
        <is>
          <t>Nov</t>
        </is>
      </c>
      <c r="M18" s="19" t="inlineStr">
        <is>
          <t>Déc</t>
        </is>
      </c>
      <c r="N18" s="20" t="inlineStr">
        <is>
          <t>TOTAL</t>
        </is>
      </c>
    </row>
    <row r="19">
      <c r="A19" s="61" t="inlineStr">
        <is>
          <t>CA révisé (facturé)</t>
        </is>
      </c>
      <c r="B19" s="25" t="n">
        <v>91000</v>
      </c>
      <c r="C19" s="25" t="n">
        <v>91000</v>
      </c>
      <c r="D19" s="25" t="n">
        <v>104000</v>
      </c>
      <c r="E19" s="25" t="n">
        <v>130000</v>
      </c>
      <c r="F19" s="25" t="n">
        <v>130000</v>
      </c>
      <c r="G19" s="25" t="n">
        <v>130000</v>
      </c>
      <c r="H19" s="25" t="n">
        <v>78000</v>
      </c>
      <c r="I19" s="25" t="n">
        <v>91000</v>
      </c>
      <c r="J19" s="25" t="n">
        <v>91000</v>
      </c>
      <c r="K19" s="25" t="n">
        <v>117000</v>
      </c>
      <c r="L19" s="25" t="n">
        <v>117000</v>
      </c>
      <c r="M19" s="25" t="n">
        <v>130000</v>
      </c>
      <c r="N19" s="26" t="n">
        <v>1300000</v>
      </c>
    </row>
    <row r="20">
      <c r="A20" s="61" t="inlineStr">
        <is>
          <t>Charges décaissées</t>
        </is>
      </c>
      <c r="B20" s="36" t="n">
        <v>84295</v>
      </c>
      <c r="C20" s="36" t="n">
        <v>94875</v>
      </c>
      <c r="D20" s="36" t="n">
        <v>108099</v>
      </c>
      <c r="E20" s="36" t="n">
        <v>135797</v>
      </c>
      <c r="F20" s="36" t="n">
        <v>134547</v>
      </c>
      <c r="G20" s="36" t="n">
        <v>134547</v>
      </c>
      <c r="H20" s="36" t="n">
        <v>82901</v>
      </c>
      <c r="I20" s="36" t="n">
        <v>94875</v>
      </c>
      <c r="J20" s="36" t="n">
        <v>94875</v>
      </c>
      <c r="K20" s="36" t="n">
        <v>122572</v>
      </c>
      <c r="L20" s="36" t="n">
        <v>121322</v>
      </c>
      <c r="M20" s="36" t="n">
        <v>134547</v>
      </c>
      <c r="N20" s="37" t="n">
        <v>1343252</v>
      </c>
    </row>
    <row r="21">
      <c r="A21" s="62" t="inlineStr">
        <is>
          <t>Marge flux réels (Encaiss. − Déc.)</t>
        </is>
      </c>
      <c r="B21" s="36" t="n">
        <v>-29295</v>
      </c>
      <c r="C21" s="36" t="n">
        <v>-39875</v>
      </c>
      <c r="D21" s="25" t="n">
        <v>1101</v>
      </c>
      <c r="E21" s="36" t="n">
        <v>-26597</v>
      </c>
      <c r="F21" s="36" t="n">
        <v>-9747</v>
      </c>
      <c r="G21" s="25" t="n">
        <v>21453</v>
      </c>
      <c r="H21" s="25" t="n">
        <v>73099</v>
      </c>
      <c r="I21" s="25" t="n">
        <v>61125</v>
      </c>
      <c r="J21" s="36" t="n">
        <v>-1275</v>
      </c>
      <c r="K21" s="36" t="n">
        <v>-13372</v>
      </c>
      <c r="L21" s="36" t="n">
        <v>-12122</v>
      </c>
      <c r="M21" s="25" t="n">
        <v>5853</v>
      </c>
      <c r="N21" s="26" t="n">
        <v>30348</v>
      </c>
    </row>
    <row r="22">
      <c r="A22" s="61" t="inlineStr">
        <is>
          <t>IS estimé (−)</t>
        </is>
      </c>
      <c r="B22" s="63" t="n">
        <v>-1676</v>
      </c>
      <c r="C22" s="45" t="n">
        <v>0</v>
      </c>
      <c r="D22" s="45" t="n">
        <v>0</v>
      </c>
      <c r="E22" s="45" t="n">
        <v>0</v>
      </c>
      <c r="F22" s="45" t="n">
        <v>0</v>
      </c>
      <c r="G22" s="45" t="n">
        <v>0</v>
      </c>
      <c r="H22" s="45" t="n">
        <v>0</v>
      </c>
      <c r="I22" s="45" t="n">
        <v>0</v>
      </c>
      <c r="J22" s="45" t="n">
        <v>0</v>
      </c>
      <c r="K22" s="45" t="n">
        <v>0</v>
      </c>
      <c r="L22" s="45" t="n">
        <v>0</v>
      </c>
      <c r="M22" s="45" t="n">
        <v>0</v>
      </c>
      <c r="N22" s="60" t="n">
        <v>-5000</v>
      </c>
    </row>
    <row r="23">
      <c r="A23" s="62" t="inlineStr">
        <is>
          <t>Résultat net</t>
        </is>
      </c>
      <c r="B23" s="25" t="n">
        <v>5029</v>
      </c>
      <c r="C23" s="36" t="n">
        <v>-3875</v>
      </c>
      <c r="D23" s="36" t="n">
        <v>-4099</v>
      </c>
      <c r="E23" s="36" t="n">
        <v>-5797</v>
      </c>
      <c r="F23" s="36" t="n">
        <v>-4547</v>
      </c>
      <c r="G23" s="36" t="n">
        <v>-4547</v>
      </c>
      <c r="H23" s="36" t="n">
        <v>-4901</v>
      </c>
      <c r="I23" s="36" t="n">
        <v>-3875</v>
      </c>
      <c r="J23" s="36" t="n">
        <v>-3875</v>
      </c>
      <c r="K23" s="36" t="n">
        <v>-5572</v>
      </c>
      <c r="L23" s="36" t="n">
        <v>-4322</v>
      </c>
      <c r="M23" s="36" t="n">
        <v>-4547</v>
      </c>
      <c r="N23" s="26" t="n">
        <v>15000</v>
      </c>
    </row>
    <row r="24">
      <c r="A24" s="64" t="inlineStr">
        <is>
          <t>Trésorerie cumulée</t>
        </is>
      </c>
      <c r="B24" s="37" t="n">
        <v>-134295</v>
      </c>
      <c r="C24" s="37" t="n">
        <v>-174170</v>
      </c>
      <c r="D24" s="37" t="n">
        <v>-173069</v>
      </c>
      <c r="E24" s="37" t="n">
        <v>-199666</v>
      </c>
      <c r="F24" s="37" t="n">
        <v>-209413</v>
      </c>
      <c r="G24" s="37" t="n">
        <v>-187960</v>
      </c>
      <c r="H24" s="37" t="n">
        <v>-114861</v>
      </c>
      <c r="I24" s="37" t="n">
        <v>-53736</v>
      </c>
      <c r="J24" s="37" t="n">
        <v>-55011</v>
      </c>
      <c r="K24" s="37" t="n">
        <v>-68383</v>
      </c>
      <c r="L24" s="37" t="n">
        <v>-80505</v>
      </c>
      <c r="M24" s="37" t="n">
        <v>-74652</v>
      </c>
      <c r="N24" s="37" t="n">
        <v>-74652</v>
      </c>
    </row>
    <row r="31">
      <c r="A31" s="57" t="inlineStr">
        <is>
          <t>OPTIMISTE — Toutes actions menées — délais réduits à 40j</t>
        </is>
      </c>
    </row>
    <row r="32">
      <c r="A32" s="19" t="inlineStr">
        <is>
          <t>Indicateur</t>
        </is>
      </c>
      <c r="B32" s="19" t="inlineStr">
        <is>
          <t>Jan</t>
        </is>
      </c>
      <c r="C32" s="19" t="inlineStr">
        <is>
          <t>Fév</t>
        </is>
      </c>
      <c r="D32" s="19" t="inlineStr">
        <is>
          <t>Mars</t>
        </is>
      </c>
      <c r="E32" s="19" t="inlineStr">
        <is>
          <t>Avr</t>
        </is>
      </c>
      <c r="F32" s="19" t="inlineStr">
        <is>
          <t>Mai</t>
        </is>
      </c>
      <c r="G32" s="19" t="inlineStr">
        <is>
          <t>Juin</t>
        </is>
      </c>
      <c r="H32" s="19" t="inlineStr">
        <is>
          <t>Juil</t>
        </is>
      </c>
      <c r="I32" s="19" t="inlineStr">
        <is>
          <t>Août</t>
        </is>
      </c>
      <c r="J32" s="19" t="inlineStr">
        <is>
          <t>Sep</t>
        </is>
      </c>
      <c r="K32" s="19" t="inlineStr">
        <is>
          <t>Oct</t>
        </is>
      </c>
      <c r="L32" s="19" t="inlineStr">
        <is>
          <t>Nov</t>
        </is>
      </c>
      <c r="M32" s="19" t="inlineStr">
        <is>
          <t>Déc</t>
        </is>
      </c>
      <c r="N32" s="20" t="inlineStr">
        <is>
          <t>TOTAL</t>
        </is>
      </c>
    </row>
    <row r="33">
      <c r="A33" s="61" t="inlineStr">
        <is>
          <t>CA révisé (facturé)</t>
        </is>
      </c>
      <c r="B33" s="25" t="n">
        <v>95375</v>
      </c>
      <c r="C33" s="25" t="n">
        <v>95375</v>
      </c>
      <c r="D33" s="25" t="n">
        <v>109000</v>
      </c>
      <c r="E33" s="25" t="n">
        <v>136250</v>
      </c>
      <c r="F33" s="25" t="n">
        <v>136250</v>
      </c>
      <c r="G33" s="25" t="n">
        <v>136250</v>
      </c>
      <c r="H33" s="25" t="n">
        <v>81750</v>
      </c>
      <c r="I33" s="25" t="n">
        <v>95375</v>
      </c>
      <c r="J33" s="25" t="n">
        <v>95375</v>
      </c>
      <c r="K33" s="25" t="n">
        <v>122625</v>
      </c>
      <c r="L33" s="25" t="n">
        <v>122625</v>
      </c>
      <c r="M33" s="25" t="n">
        <v>136250</v>
      </c>
      <c r="N33" s="26" t="n">
        <v>1362500</v>
      </c>
    </row>
    <row r="34">
      <c r="A34" s="61" t="inlineStr">
        <is>
          <t>Charges décaissées</t>
        </is>
      </c>
      <c r="B34" s="36" t="n">
        <v>88406</v>
      </c>
      <c r="C34" s="36" t="n">
        <v>96887</v>
      </c>
      <c r="D34" s="36" t="n">
        <v>110399</v>
      </c>
      <c r="E34" s="36" t="n">
        <v>141341</v>
      </c>
      <c r="F34" s="36" t="n">
        <v>137423</v>
      </c>
      <c r="G34" s="36" t="n">
        <v>137423</v>
      </c>
      <c r="H34" s="36" t="n">
        <v>87294</v>
      </c>
      <c r="I34" s="36" t="n">
        <v>96887</v>
      </c>
      <c r="J34" s="36" t="n">
        <v>96887</v>
      </c>
      <c r="K34" s="36" t="n">
        <v>127829</v>
      </c>
      <c r="L34" s="36" t="n">
        <v>123911</v>
      </c>
      <c r="M34" s="36" t="n">
        <v>137423</v>
      </c>
      <c r="N34" s="37" t="n">
        <v>1382110</v>
      </c>
    </row>
    <row r="35">
      <c r="A35" s="62" t="inlineStr">
        <is>
          <t>Marge flux réels (Encaiss. − Déc.)</t>
        </is>
      </c>
      <c r="B35" s="36" t="n">
        <v>-33406</v>
      </c>
      <c r="C35" s="25" t="n">
        <v>72563</v>
      </c>
      <c r="D35" s="25" t="n">
        <v>4051</v>
      </c>
      <c r="E35" s="36" t="n">
        <v>-10541</v>
      </c>
      <c r="F35" s="25" t="n">
        <v>26077</v>
      </c>
      <c r="G35" s="25" t="n">
        <v>26077</v>
      </c>
      <c r="H35" s="25" t="n">
        <v>76206</v>
      </c>
      <c r="I35" s="25" t="n">
        <v>1213</v>
      </c>
      <c r="J35" s="25" t="n">
        <v>17563</v>
      </c>
      <c r="K35" s="36" t="n">
        <v>-13379</v>
      </c>
      <c r="L35" s="25" t="n">
        <v>23239</v>
      </c>
      <c r="M35" s="25" t="n">
        <v>9727</v>
      </c>
      <c r="N35" s="26" t="n">
        <v>199390</v>
      </c>
    </row>
    <row r="36">
      <c r="A36" s="61" t="inlineStr">
        <is>
          <t>IS estimé (−)</t>
        </is>
      </c>
      <c r="B36" s="63" t="n">
        <v>-1742</v>
      </c>
      <c r="C36" s="45" t="n">
        <v>0</v>
      </c>
      <c r="D36" s="45" t="n">
        <v>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5" t="n">
        <v>0</v>
      </c>
      <c r="K36" s="45" t="n">
        <v>0</v>
      </c>
      <c r="L36" s="45" t="n">
        <v>0</v>
      </c>
      <c r="M36" s="45" t="n">
        <v>0</v>
      </c>
      <c r="N36" s="60" t="n">
        <v>-15673</v>
      </c>
    </row>
    <row r="37">
      <c r="A37" s="62" t="inlineStr">
        <is>
          <t>Résultat net</t>
        </is>
      </c>
      <c r="B37" s="25" t="n">
        <v>5227</v>
      </c>
      <c r="C37" s="36" t="n">
        <v>-1512</v>
      </c>
      <c r="D37" s="36" t="n">
        <v>-1399</v>
      </c>
      <c r="E37" s="36" t="n">
        <v>-5091</v>
      </c>
      <c r="F37" s="36" t="n">
        <v>-1173</v>
      </c>
      <c r="G37" s="36" t="n">
        <v>-1173</v>
      </c>
      <c r="H37" s="36" t="n">
        <v>-5544</v>
      </c>
      <c r="I37" s="36" t="n">
        <v>-1512</v>
      </c>
      <c r="J37" s="36" t="n">
        <v>-1512</v>
      </c>
      <c r="K37" s="36" t="n">
        <v>-5204</v>
      </c>
      <c r="L37" s="36" t="n">
        <v>-1286</v>
      </c>
      <c r="M37" s="36" t="n">
        <v>-1173</v>
      </c>
      <c r="N37" s="26" t="n">
        <v>47018</v>
      </c>
    </row>
    <row r="38">
      <c r="A38" s="64" t="inlineStr">
        <is>
          <t>Trésorerie cumulée</t>
        </is>
      </c>
      <c r="B38" s="37" t="n">
        <v>-138406</v>
      </c>
      <c r="C38" s="37" t="n">
        <v>-65843</v>
      </c>
      <c r="D38" s="37" t="n">
        <v>-61792</v>
      </c>
      <c r="E38" s="37" t="n">
        <v>-72333</v>
      </c>
      <c r="F38" s="37" t="n">
        <v>-46256</v>
      </c>
      <c r="G38" s="37" t="n">
        <v>-20179</v>
      </c>
      <c r="H38" s="26" t="n">
        <v>56027</v>
      </c>
      <c r="I38" s="26" t="n">
        <v>57240</v>
      </c>
      <c r="J38" s="26" t="n">
        <v>74803</v>
      </c>
      <c r="K38" s="26" t="n">
        <v>61424</v>
      </c>
      <c r="L38" s="26" t="n">
        <v>84663</v>
      </c>
      <c r="M38" s="26" t="n">
        <v>94390</v>
      </c>
      <c r="N38" s="26" t="n">
        <v>94390</v>
      </c>
    </row>
    <row r="45">
      <c r="A45" s="58" t="inlineStr">
        <is>
          <t>APPRENANT — À construire par l'apprenant</t>
        </is>
      </c>
    </row>
    <row r="46">
      <c r="A46" s="19" t="inlineStr">
        <is>
          <t>Indicateur</t>
        </is>
      </c>
      <c r="B46" s="19" t="inlineStr">
        <is>
          <t>Jan</t>
        </is>
      </c>
      <c r="C46" s="19" t="inlineStr">
        <is>
          <t>Fév</t>
        </is>
      </c>
      <c r="D46" s="19" t="inlineStr">
        <is>
          <t>Mars</t>
        </is>
      </c>
      <c r="E46" s="19" t="inlineStr">
        <is>
          <t>Avr</t>
        </is>
      </c>
      <c r="F46" s="19" t="inlineStr">
        <is>
          <t>Mai</t>
        </is>
      </c>
      <c r="G46" s="19" t="inlineStr">
        <is>
          <t>Juin</t>
        </is>
      </c>
      <c r="H46" s="19" t="inlineStr">
        <is>
          <t>Juil</t>
        </is>
      </c>
      <c r="I46" s="19" t="inlineStr">
        <is>
          <t>Août</t>
        </is>
      </c>
      <c r="J46" s="19" t="inlineStr">
        <is>
          <t>Sep</t>
        </is>
      </c>
      <c r="K46" s="19" t="inlineStr">
        <is>
          <t>Oct</t>
        </is>
      </c>
      <c r="L46" s="19" t="inlineStr">
        <is>
          <t>Nov</t>
        </is>
      </c>
      <c r="M46" s="19" t="inlineStr">
        <is>
          <t>Déc</t>
        </is>
      </c>
      <c r="N46" s="20" t="inlineStr">
        <is>
          <t>TOTAL</t>
        </is>
      </c>
    </row>
    <row r="47">
      <c r="A47" s="61" t="inlineStr">
        <is>
          <t>CA révisé (facturé)</t>
        </is>
      </c>
      <c r="B47" s="25" t="n">
        <v>92750</v>
      </c>
      <c r="C47" s="25" t="n">
        <v>92750</v>
      </c>
      <c r="D47" s="25" t="n">
        <v>106000</v>
      </c>
      <c r="E47" s="25" t="n">
        <v>132500</v>
      </c>
      <c r="F47" s="25" t="n">
        <v>132500</v>
      </c>
      <c r="G47" s="25" t="n">
        <v>132500</v>
      </c>
      <c r="H47" s="25" t="n">
        <v>79500</v>
      </c>
      <c r="I47" s="25" t="n">
        <v>92750</v>
      </c>
      <c r="J47" s="25" t="n">
        <v>92750</v>
      </c>
      <c r="K47" s="25" t="n">
        <v>119250</v>
      </c>
      <c r="L47" s="25" t="n">
        <v>119250</v>
      </c>
      <c r="M47" s="25" t="n">
        <v>132500</v>
      </c>
      <c r="N47" s="26" t="n">
        <v>1325000</v>
      </c>
    </row>
    <row r="48">
      <c r="A48" s="61" t="inlineStr">
        <is>
          <t>Charges décaissées</t>
        </is>
      </c>
      <c r="B48" s="36" t="n">
        <v>85974</v>
      </c>
      <c r="C48" s="36" t="n">
        <v>96187</v>
      </c>
      <c r="D48" s="36" t="n">
        <v>109597</v>
      </c>
      <c r="E48" s="36" t="n">
        <v>138264</v>
      </c>
      <c r="F48" s="36" t="n">
        <v>136419</v>
      </c>
      <c r="G48" s="36" t="n">
        <v>136419</v>
      </c>
      <c r="H48" s="36" t="n">
        <v>84619</v>
      </c>
      <c r="I48" s="36" t="n">
        <v>96187</v>
      </c>
      <c r="J48" s="36" t="n">
        <v>96187</v>
      </c>
      <c r="K48" s="36" t="n">
        <v>124853</v>
      </c>
      <c r="L48" s="36" t="n">
        <v>123008</v>
      </c>
      <c r="M48" s="36" t="n">
        <v>136419</v>
      </c>
      <c r="N48" s="37" t="n">
        <v>1364133</v>
      </c>
    </row>
    <row r="49">
      <c r="A49" s="62" t="inlineStr">
        <is>
          <t>Marge flux réels (Encaiss. − Déc.)</t>
        </is>
      </c>
      <c r="B49" s="36" t="n">
        <v>-30974</v>
      </c>
      <c r="C49" s="36" t="n">
        <v>-41187</v>
      </c>
      <c r="D49" s="25" t="n">
        <v>1703</v>
      </c>
      <c r="E49" s="36" t="n">
        <v>-26964</v>
      </c>
      <c r="F49" s="36" t="n">
        <v>-9219</v>
      </c>
      <c r="G49" s="25" t="n">
        <v>22581</v>
      </c>
      <c r="H49" s="25" t="n">
        <v>74381</v>
      </c>
      <c r="I49" s="25" t="n">
        <v>62813</v>
      </c>
      <c r="J49" s="36" t="n">
        <v>-787</v>
      </c>
      <c r="K49" s="36" t="n">
        <v>-13553</v>
      </c>
      <c r="L49" s="36" t="n">
        <v>-11708</v>
      </c>
      <c r="M49" s="25" t="n">
        <v>6681</v>
      </c>
      <c r="N49" s="26" t="n">
        <v>33767</v>
      </c>
    </row>
    <row r="50">
      <c r="A50" s="61" t="inlineStr">
        <is>
          <t>IS estimé (−)</t>
        </is>
      </c>
      <c r="B50" s="63" t="n">
        <v>-1694</v>
      </c>
      <c r="C50" s="45" t="n">
        <v>0</v>
      </c>
      <c r="D50" s="45" t="n">
        <v>0</v>
      </c>
      <c r="E50" s="45" t="n">
        <v>0</v>
      </c>
      <c r="F50" s="45" t="n">
        <v>0</v>
      </c>
      <c r="G50" s="45" t="n">
        <v>0</v>
      </c>
      <c r="H50" s="45" t="n">
        <v>0</v>
      </c>
      <c r="I50" s="45" t="n">
        <v>0</v>
      </c>
      <c r="J50" s="45" t="n">
        <v>0</v>
      </c>
      <c r="K50" s="45" t="n">
        <v>0</v>
      </c>
      <c r="L50" s="45" t="n">
        <v>0</v>
      </c>
      <c r="M50" s="45" t="n">
        <v>0</v>
      </c>
      <c r="N50" s="60" t="n">
        <v>-7380</v>
      </c>
    </row>
    <row r="51">
      <c r="A51" s="62" t="inlineStr">
        <is>
          <t>Résultat net</t>
        </is>
      </c>
      <c r="B51" s="25" t="n">
        <v>5082</v>
      </c>
      <c r="C51" s="36" t="n">
        <v>-3437</v>
      </c>
      <c r="D51" s="36" t="n">
        <v>-3597</v>
      </c>
      <c r="E51" s="36" t="n">
        <v>-5764</v>
      </c>
      <c r="F51" s="36" t="n">
        <v>-3919</v>
      </c>
      <c r="G51" s="36" t="n">
        <v>-3919</v>
      </c>
      <c r="H51" s="36" t="n">
        <v>-5119</v>
      </c>
      <c r="I51" s="36" t="n">
        <v>-3437</v>
      </c>
      <c r="J51" s="36" t="n">
        <v>-3437</v>
      </c>
      <c r="K51" s="36" t="n">
        <v>-5603</v>
      </c>
      <c r="L51" s="36" t="n">
        <v>-3758</v>
      </c>
      <c r="M51" s="36" t="n">
        <v>-3919</v>
      </c>
      <c r="N51" s="26" t="n">
        <v>22139</v>
      </c>
    </row>
    <row r="52">
      <c r="A52" s="64" t="inlineStr">
        <is>
          <t>Trésorerie cumulée</t>
        </is>
      </c>
      <c r="B52" s="37" t="n">
        <v>-135974</v>
      </c>
      <c r="C52" s="37" t="n">
        <v>-177161</v>
      </c>
      <c r="D52" s="37" t="n">
        <v>-175458</v>
      </c>
      <c r="E52" s="37" t="n">
        <v>-202422</v>
      </c>
      <c r="F52" s="37" t="n">
        <v>-211641</v>
      </c>
      <c r="G52" s="37" t="n">
        <v>-189060</v>
      </c>
      <c r="H52" s="37" t="n">
        <v>-114679</v>
      </c>
      <c r="I52" s="37" t="n">
        <v>-51866</v>
      </c>
      <c r="J52" s="37" t="n">
        <v>-52653</v>
      </c>
      <c r="K52" s="37" t="n">
        <v>-66206</v>
      </c>
      <c r="L52" s="37" t="n">
        <v>-77914</v>
      </c>
      <c r="M52" s="37" t="n">
        <v>-71233</v>
      </c>
      <c r="N52" s="37" t="n">
        <v>-71233</v>
      </c>
    </row>
  </sheetData>
  <mergeCells count="4">
    <mergeCell ref="A17:N17"/>
    <mergeCell ref="A45:N45"/>
    <mergeCell ref="A31:N31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2026-05-20T17:03:55Z</dcterms:created>
  <dcterms:modified xmlns:dcterms="http://purl.org/dc/terms/" xmlns:xsi="http://www.w3.org/2001/XMLSchema-instance" xsi:type="dcterms:W3CDTF">2026-05-22T12:45:04Z</dcterms:modified>
</cp:coreProperties>
</file>