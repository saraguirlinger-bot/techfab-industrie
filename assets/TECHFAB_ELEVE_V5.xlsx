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Guide" sheetId="1" state="visible" r:id="rId3"/>
    <sheet name="01-Diagnostic" sheetId="2" state="visible" r:id="rId4"/>
    <sheet name="Présentation (données)" sheetId="3" state="visible" r:id="rId5"/>
    <sheet name="SWOT_PESTEL" sheetId="4" state="visible" r:id="rId6"/>
    <sheet name="Hypothèses" sheetId="5" state="visible" r:id="rId7"/>
    <sheet name="Budget_Ventes" sheetId="6" state="visible" r:id="rId8"/>
    <sheet name="Budget_Production" sheetId="7" state="visible" r:id="rId9"/>
    <sheet name="Budget_Appro" sheetId="8" state="visible" r:id="rId10"/>
    <sheet name="Budget_Trésorerie" sheetId="9" state="visible" r:id="rId11"/>
    <sheet name="Réel_Écarts" sheetId="10" state="visible" r:id="rId12"/>
    <sheet name="Foreca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<sst xmlns="http://schemas.openxmlformats.org/spreadsheetml/2006/main" count="796" uniqueCount="343">
  <si>
    <t xml:space="preserve">TECHFAB INDUSTRIE — Guide du parcours pédagogique</t>
  </si>
  <si>
    <t xml:space="preserve">📋 ONGLETS DU CLASSEUR</t>
  </si>
  <si>
    <t xml:space="preserve">00-Guide</t>
  </si>
  <si>
    <t xml:space="preserve">Ce guide — lisez en premier</t>
  </si>
  <si>
    <t xml:space="preserve">01-Diagnostic</t>
  </si>
  <si>
    <t xml:space="preserve">Bilan · CR · SIG · FR/BFR/TN → Mission 01</t>
  </si>
  <si>
    <t xml:space="preserve">SWOT_PESTEL</t>
  </si>
  <si>
    <t xml:space="preserve">Matrice SWOT + PESTEL → Mission 02</t>
  </si>
  <si>
    <t xml:space="preserve">Hypothèses</t>
  </si>
  <si>
    <t xml:space="preserve">Taux croissance · inflation · délais → Mission 03</t>
  </si>
  <si>
    <t xml:space="preserve">Budget_Ventes</t>
  </si>
  <si>
    <t xml:space="preserve">CA mensuel A/B/C par scénario → Mission 04</t>
  </si>
  <si>
    <t xml:space="preserve">Budget_Production</t>
  </si>
  <si>
    <t xml:space="preserve">Volumes et coûts de production → Mission 05</t>
  </si>
  <si>
    <t xml:space="preserve">Budget_Appro</t>
  </si>
  <si>
    <t xml:space="preserve">Achats matières et stocks → Mission 06</t>
  </si>
  <si>
    <t xml:space="preserve">Budget_Trésorerie</t>
  </si>
  <si>
    <t xml:space="preserve">Flux mensuels et trésorerie cumulée → Mission 07</t>
  </si>
  <si>
    <t xml:space="preserve">Réel_Écarts</t>
  </si>
  <si>
    <t xml:space="preserve">Réel S1 vs budget → Mission 08</t>
  </si>
  <si>
    <t xml:space="preserve">Forecast</t>
  </si>
  <si>
    <t xml:space="preserve">Budget révisé S2 + atterrissage → Mission 09-10</t>
  </si>
  <si>
    <t xml:space="preserve">🎨 CODE COULEUR</t>
  </si>
  <si>
    <t xml:space="preserve">🔵 Cellule bleue</t>
  </si>
  <si>
    <t xml:space="preserve">Donnée à saisir par l'apprenant</t>
  </si>
  <si>
    <t xml:space="preserve">🟡 Cellule jaune</t>
  </si>
  <si>
    <t xml:space="preserve">Formule à créer par l'apprenant</t>
  </si>
  <si>
    <t xml:space="preserve">🟢 Cellule verte</t>
  </si>
  <si>
    <t xml:space="preserve">Total calculé automatiquement</t>
  </si>
  <si>
    <t xml:space="preserve">⬜ Cellule grise</t>
  </si>
  <si>
    <t xml:space="preserve">Donnée de référence fournie</t>
  </si>
  <si>
    <t xml:space="preserve">📌 CONSIGNE</t>
  </si>
  <si>
    <t xml:space="preserve">Ordre de travail</t>
  </si>
  <si>
    <t xml:space="preserve">01-Diagnostic en premier puis suivre l'ordre des onglets</t>
  </si>
  <si>
    <t xml:space="preserve">Validation</t>
  </si>
  <si>
    <t xml:space="preserve">Répondre aux questions du site après chaque onglet Excel</t>
  </si>
  <si>
    <t xml:space="preserve">Scénario prioritaire</t>
  </si>
  <si>
    <t xml:space="preserve">Travaillez sur le scénario RÉALISTE</t>
  </si>
  <si>
    <t xml:space="preserve">TECHFAB INDUSTRIE — Mission 01 · Diagnostic financier</t>
  </si>
  <si>
    <t xml:space="preserve">LÉGENDE :  🔵 Saisir  |  🟡 Formule à créer  |  🟢 Total auto</t>
  </si>
  <si>
    <t xml:space="preserve">A. BILAN SIMPLIFIÉ N-1</t>
  </si>
  <si>
    <t xml:space="preserve">ACTIF</t>
  </si>
  <si>
    <t xml:space="preserve">Montant (€)</t>
  </si>
  <si>
    <t xml:space="preserve">PASSIF</t>
  </si>
  <si>
    <t xml:space="preserve">Immobilisations nettes</t>
  </si>
  <si>
    <t xml:space="preserve">Capitaux propres</t>
  </si>
  <si>
    <t xml:space="preserve">Stocks matières + PF</t>
  </si>
  <si>
    <t xml:space="preserve">Dettes financières LT</t>
  </si>
  <si>
    <t xml:space="preserve">Créances clients (75 j)</t>
  </si>
  <si>
    <t xml:space="preserve">Dettes fournisseurs (30 j)</t>
  </si>
  <si>
    <t xml:space="preserve">Disponibilités</t>
  </si>
  <si>
    <t xml:space="preserve">Découvert bancaire</t>
  </si>
  <si>
    <t xml:space="preserve">TOTAL ACTIF</t>
  </si>
  <si>
    <t xml:space="preserve">TOTAL PASSIF</t>
  </si>
  <si>
    <t xml:space="preserve">B. COMPTE DE RÉSULTAT SIMPLIFIÉ N-1</t>
  </si>
  <si>
    <t xml:space="preserve">Élément</t>
  </si>
  <si>
    <t xml:space="preserve">% du CA</t>
  </si>
  <si>
    <t xml:space="preserve">Analyse</t>
  </si>
  <si>
    <t xml:space="preserve">Chiffre d'affaires</t>
  </si>
  <si>
    <t xml:space="preserve">Base 100 %</t>
  </si>
  <si>
    <t xml:space="preserve">Achats consommés</t>
  </si>
  <si>
    <t xml:space="preserve">Poids matières</t>
  </si>
  <si>
    <t xml:space="preserve">Charges de personnel</t>
  </si>
  <si>
    <t xml:space="preserve">Charges salariales</t>
  </si>
  <si>
    <t xml:space="preserve">Charges externes</t>
  </si>
  <si>
    <t xml:space="preserve">Frais généraux</t>
  </si>
  <si>
    <t xml:space="preserve">Résultat d'exploitation</t>
  </si>
  <si>
    <t xml:space="preserve">Rentabilité opérationnelle</t>
  </si>
  <si>
    <t xml:space="preserve">Charges financières</t>
  </si>
  <si>
    <t xml:space="preserve">Intérêts découvert</t>
  </si>
  <si>
    <t xml:space="preserve">Résultat avant IS</t>
  </si>
  <si>
    <t xml:space="preserve">IS estimé</t>
  </si>
  <si>
    <t xml:space="preserve">~50 %</t>
  </si>
  <si>
    <t xml:space="preserve">RÉSULTAT NET</t>
  </si>
  <si>
    <t xml:space="preserve">Entreprise rentable ✓</t>
  </si>
  <si>
    <t xml:space="preserve">C. SOLDES INTERMÉDIAIRES DE GESTION (SIG)</t>
  </si>
  <si>
    <t xml:space="preserve">Indicateur SIG</t>
  </si>
  <si>
    <t xml:space="preserve">% CA</t>
  </si>
  <si>
    <t xml:space="preserve">Interprétation</t>
  </si>
  <si>
    <t xml:space="preserve">Chiffre d'affaires (CA)</t>
  </si>
  <si>
    <t xml:space="preserve">Point de départ</t>
  </si>
  <si>
    <t xml:space="preserve">Valeur ajoutée (VA)</t>
  </si>
  <si>
    <t xml:space="preserve">Richesse créée — VA = CA − consommations externes</t>
  </si>
  <si>
    <t xml:space="preserve">EBE (Excédent Brut Exploitation)</t>
  </si>
  <si>
    <t xml:space="preserve">Rentabilité avant amortissements et charges financières</t>
  </si>
  <si>
    <t xml:space="preserve">Résultat d'exploitation (REX)</t>
  </si>
  <si>
    <t xml:space="preserve">Après amortissements</t>
  </si>
  <si>
    <t xml:space="preserve">Résultat net</t>
  </si>
  <si>
    <t xml:space="preserve">⚠ Positif mais découvert bancaire → paradoxe</t>
  </si>
  <si>
    <t xml:space="preserve">Trésorerie nette (TN)</t>
  </si>
  <si>
    <t xml:space="preserve">→ calculée section D</t>
  </si>
  <si>
    <t xml:space="preserve">D. CALCUL FR / BFR / TRÉSORERIE NETTE</t>
  </si>
  <si>
    <t xml:space="preserve">Fonds de Roulement</t>
  </si>
  <si>
    <t xml:space="preserve">Formule</t>
  </si>
  <si>
    <t xml:space="preserve">Capitaux permanents (CP + Dettes LT)</t>
  </si>
  <si>
    <t xml:space="preserve">Capitaux permanents = CP + Dettes financières LT</t>
  </si>
  <si>
    <t xml:space="preserve">Actif immobilisé net</t>
  </si>
  <si>
    <t xml:space="preserve">Actif immobilisé net (bilan)</t>
  </si>
  <si>
    <t xml:space="preserve">FR = Capitaux permanents − Actif immobilisé</t>
  </si>
  <si>
    <t xml:space="preserve">🎯 Résultat</t>
  </si>
  <si>
    <t xml:space="preserve">Besoin en Fonds de Roulement</t>
  </si>
  <si>
    <t xml:space="preserve">Explication</t>
  </si>
  <si>
    <t xml:space="preserve">Stocks (matières + PF)</t>
  </si>
  <si>
    <t xml:space="preserve">Argent immobilisé dans les stocks</t>
  </si>
  <si>
    <t xml:space="preserve">Argent prêté aux clients</t>
  </si>
  <si>
    <t xml:space="preserve">Sous-total besoins</t>
  </si>
  <si>
    <t xml:space="preserve">Total emplois cycliques</t>
  </si>
  <si>
    <t xml:space="preserve">Ressource — réduit le BFR</t>
  </si>
  <si>
    <t xml:space="preserve">BFR = (Stocks + Créances) − Dettes fourn.</t>
  </si>
  <si>
    <t xml:space="preserve">⚠ BFR = 115 K€ &gt; FR = 10 K€</t>
  </si>
  <si>
    <t xml:space="preserve">Trésorerie Nette</t>
  </si>
  <si>
    <t xml:space="preserve">FR (calculé ci-dessus)</t>
  </si>
  <si>
    <t xml:space="preserve">BFR (calculé ci-dessus)</t>
  </si>
  <si>
    <t xml:space="preserve">TN = FR − BFR</t>
  </si>
  <si>
    <t xml:space="preserve">🚨 Négatif = découvert structurel (−105 K€)</t>
  </si>
  <si>
    <t xml:space="preserve">E. VOTRE DIAGNOSTIC — À rédiger</t>
  </si>
  <si>
    <t xml:space="preserve">1. Le paradoxe TECHFAB (1 phrase) :</t>
  </si>
  <si>
    <t xml:space="preserve">2. Cause principale du découvert :</t>
  </si>
  <si>
    <t xml:space="preserve">3. Signal d'alerte le plus urgent :</t>
  </si>
  <si>
    <t xml:space="preserve">4. Recommandation prioritaire :</t>
  </si>
  <si>
    <t xml:space="preserve">TECHFAB INDUSTRIE – Présentation de l’entreprise</t>
  </si>
  <si>
    <t xml:space="preserve">Historique</t>
  </si>
  <si>
    <t xml:space="preserve">PME industrielle créée en 2008 spécialisée dans le mobilier professionnel B2B.</t>
  </si>
  <si>
    <t xml:space="preserve">Positionnement</t>
  </si>
  <si>
    <t xml:space="preserve">Entreprise reconnue pour sa qualité produit et son SAV.</t>
  </si>
  <si>
    <t xml:space="preserve">Marché</t>
  </si>
  <si>
    <t xml:space="preserve">Clients PME, collectivités et espaces de coworking.</t>
  </si>
  <si>
    <t xml:space="preserve">Problématiques actuelles</t>
  </si>
  <si>
    <t xml:space="preserve">Hausse des coûts matières, tensions de trésorerie et capacité machine limitée.</t>
  </si>
  <si>
    <t xml:space="preserve">BILAN SIMPLIFIÉ</t>
  </si>
  <si>
    <t xml:space="preserve">Montant</t>
  </si>
  <si>
    <t xml:space="preserve">Immobilisations</t>
  </si>
  <si>
    <t xml:space="preserve">Stocks</t>
  </si>
  <si>
    <t xml:space="preserve">Dettes financières</t>
  </si>
  <si>
    <t xml:space="preserve">Créances clients</t>
  </si>
  <si>
    <t xml:space="preserve">Dettes fournisseurs</t>
  </si>
  <si>
    <t xml:space="preserve">Trésorerie</t>
  </si>
  <si>
    <t xml:space="preserve">COMPTE DE RÉSULTAT</t>
  </si>
  <si>
    <t xml:space="preserve">Charges personnel</t>
  </si>
  <si>
    <t xml:space="preserve">SIG – SOLDES INTERMÉDIAIRES DE GESTION</t>
  </si>
  <si>
    <t xml:space="preserve">Indicateur</t>
  </si>
  <si>
    <t xml:space="preserve">Marge commerciale</t>
  </si>
  <si>
    <t xml:space="preserve">Bonne dynamique commerciale</t>
  </si>
  <si>
    <t xml:space="preserve">Valeur ajoutée</t>
  </si>
  <si>
    <t xml:space="preserve">Pression sur les charges</t>
  </si>
  <si>
    <t xml:space="preserve">EBE</t>
  </si>
  <si>
    <t xml:space="preserve">Rentabilité correcte mais fragile</t>
  </si>
  <si>
    <t xml:space="preserve">Résultat exploitation</t>
  </si>
  <si>
    <t xml:space="preserve">Sensibilité aux coûts énergie</t>
  </si>
  <si>
    <t xml:space="preserve">ANALYSE SWOT</t>
  </si>
  <si>
    <t xml:space="preserve">Forces – Avantages internes de l’entreprise</t>
  </si>
  <si>
    <t xml:space="preserve">Faiblesses – Limites internes impactant la performance</t>
  </si>
  <si>
    <t xml:space="preserve">Opportunités – Éléments externes favorables</t>
  </si>
  <si>
    <t xml:space="preserve">Menaces – Risques externes pour l’entreprise</t>
  </si>
  <si>
    <t xml:space="preserve">ANALYSE PESTEL</t>
  </si>
  <si>
    <t xml:space="preserve">Politique – Décisions publiques et réglementation</t>
  </si>
  <si>
    <t xml:space="preserve">Économique – Inflation, taux, croissance</t>
  </si>
  <si>
    <t xml:space="preserve">Sociologique – Évolution des attentes clients</t>
  </si>
  <si>
    <t xml:space="preserve">Technologique – Digitalisation et innovation</t>
  </si>
  <si>
    <t xml:space="preserve">Écologique – Normes environnementales</t>
  </si>
  <si>
    <t xml:space="preserve">Légal – Contraintes juridiques</t>
  </si>
  <si>
    <t xml:space="preserve">Mission 03 · Hypothèses budgétaires — 3 scénarios</t>
  </si>
  <si>
    <t xml:space="preserve">Variable</t>
  </si>
  <si>
    <t xml:space="preserve">PRUDENT</t>
  </si>
  <si>
    <t xml:space="preserve">RÉALISTE</t>
  </si>
  <si>
    <t xml:space="preserve">OPTIMISTE</t>
  </si>
  <si>
    <t xml:space="preserve">APPRENANT</t>
  </si>
  <si>
    <t xml:space="preserve">Croissance CA (%)</t>
  </si>
  <si>
    <t xml:space="preserve">-2%</t>
  </si>
  <si>
    <t xml:space="preserve">+5%</t>
  </si>
  <si>
    <t xml:space="preserve">+10%</t>
  </si>
  <si>
    <t xml:space="preserve">Inflation matières (%)</t>
  </si>
  <si>
    <t xml:space="preserve">+6%</t>
  </si>
  <si>
    <t xml:space="preserve">+3%</t>
  </si>
  <si>
    <t xml:space="preserve">Hausse énergie (%)</t>
  </si>
  <si>
    <t xml:space="preserve">+12%</t>
  </si>
  <si>
    <t xml:space="preserve">+8%</t>
  </si>
  <si>
    <t xml:space="preserve">+4%</t>
  </si>
  <si>
    <t xml:space="preserve">Hausse salaires (%)</t>
  </si>
  <si>
    <t xml:space="preserve">+2%</t>
  </si>
  <si>
    <t xml:space="preserve">TVA collectée (%)</t>
  </si>
  <si>
    <t xml:space="preserve">20%</t>
  </si>
  <si>
    <t xml:space="preserve">Délais clients (jours)</t>
  </si>
  <si>
    <t xml:space="preserve">75</t>
  </si>
  <si>
    <t xml:space="preserve">Délais fournisseurs (j)</t>
  </si>
  <si>
    <t xml:space="preserve">30</t>
  </si>
  <si>
    <t xml:space="preserve">Calculs de référence (formules automatiques)</t>
  </si>
  <si>
    <t xml:space="preserve">CA N-1 (base)</t>
  </si>
  <si>
    <t xml:space="preserve">CA prévisionnel N</t>
  </si>
  <si>
    <t xml:space="preserve">Achats matières N-1</t>
  </si>
  <si>
    <t xml:space="preserve">Achats prév. (+inflation)</t>
  </si>
  <si>
    <t xml:space="preserve">TMCV = (CA−AchatsV)/CA</t>
  </si>
  <si>
    <t xml:space="preserve">Seuil de rentabilité = 250K/TMCV</t>
  </si>
  <si>
    <t xml:space="preserve">Marge de sécurité = CA−SR</t>
  </si>
  <si>
    <t xml:space="preserve">Mission 04 · Budget des ventes — 3 scénarios + Apprenant</t>
  </si>
  <si>
    <t xml:space="preserve">📌 DONNÉES DE RÉFÉRENCE — Prix unitaires (ne pas modifier)</t>
  </si>
  <si>
    <t xml:space="preserve">Produit</t>
  </si>
  <si>
    <t xml:space="preserve">Prix unitaire</t>
  </si>
  <si>
    <t xml:space="preserve">Volume N-1</t>
  </si>
  <si>
    <t xml:space="preserve">CA N-1</t>
  </si>
  <si>
    <t xml:space="preserve">Note</t>
  </si>
  <si>
    <t xml:space="preserve">Produit A</t>
  </si>
  <si>
    <t xml:space="preserve">Bureaux standard</t>
  </si>
  <si>
    <t xml:space="preserve">Produit B</t>
  </si>
  <si>
    <t xml:space="preserve">Mobilier compact</t>
  </si>
  <si>
    <t xml:space="preserve">Produit C</t>
  </si>
  <si>
    <t xml:space="preserve">Premium/sur-mesure</t>
  </si>
  <si>
    <t xml:space="preserve">TOTAL</t>
  </si>
  <si>
    <t xml:space="preserve">Base CA = 1 250 K€</t>
  </si>
  <si>
    <t xml:space="preserve">SCÉNARIO — PRUDENT</t>
  </si>
  <si>
    <t xml:space="preserve">Jan</t>
  </si>
  <si>
    <t xml:space="preserve">Fév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</si>
  <si>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</si>
  <si>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</si>
  <si>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</si>
  <si>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</si>
  <si>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</si>
  <si>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</si>
  <si>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</t>
  </si>
  <si>
    <t xml:space="preserve">Oct</t>
  </si>
  <si>
    <t xml:space="preserve">Nov</t>
  </si>
  <si>
    <t xml:space="preserve">Déc</t>
  </si>
  <si>
    <t xml:space="preserve">Volumes Produit A</t>
  </si>
  <si>
    <t xml:space="preserve">Prix Produit A (€)</t>
  </si>
  <si>
    <t xml:space="preserve">CA Produit A (€)</t>
  </si>
  <si>
    <t xml:space="preserve">Volumes Produit B</t>
  </si>
  <si>
    <t xml:space="preserve">Prix Produit B (€)</t>
  </si>
  <si>
    <t xml:space="preserve">CA Produit B (€)</t>
  </si>
  <si>
    <t xml:space="preserve">Volumes Produit C</t>
  </si>
  <si>
    <t xml:space="preserve">Prix Produit C (€)</t>
  </si>
  <si>
    <t xml:space="preserve">CA Produit C (€)</t>
  </si>
  <si>
    <t xml:space="preserve">TOTAL CA (€)</t>
  </si>
  <si>
    <t xml:space="preserve">SCÉNARIO — RÉALISTE</t>
  </si>
  <si>
    <t xml:space="preserve">SCÉNARIO — OPTIMISTE</t>
  </si>
  <si>
    <t xml:space="preserve">SCÉNARIO — APPRENANT</t>
  </si>
  <si>
    <t xml:space="preserve">Mission 05 · Budget de production</t>
  </si>
  <si>
    <t xml:space="preserve">📌 DONNÉES DE RÉFÉRENCE — Coûts unitaires de production</t>
  </si>
  <si>
    <t xml:space="preserve">Poste de charge</t>
  </si>
  <si>
    <t xml:space="preserve">Nature</t>
  </si>
  <si>
    <t xml:space="preserve">Coût unitaire</t>
  </si>
  <si>
    <t xml:space="preserve">Montant annuel</t>
  </si>
  <si>
    <t xml:space="preserve">Matières premières</t>
  </si>
  <si>
    <t xml:space="preserve">282,5 €/u</t>
  </si>
  <si>
    <t xml:space="preserve">~657 K€ (+6 % inflation)</t>
  </si>
  <si>
    <t xml:space="preserve">Main-d'œuvre directe</t>
  </si>
  <si>
    <t xml:space="preserve">50 €/u</t>
  </si>
  <si>
    <t xml:space="preserve">~116 K€</t>
  </si>
  <si>
    <t xml:space="preserve">Énergie machines</t>
  </si>
  <si>
    <t xml:space="preserve">17 €/u</t>
  </si>
  <si>
    <t xml:space="preserve">~40 K€</t>
  </si>
  <si>
    <t xml:space="preserve">Loyer atelier</t>
  </si>
  <si>
    <t xml:space="preserve">Fixe</t>
  </si>
  <si>
    <t xml:space="preserve">—</t>
  </si>
  <si>
    <t xml:space="preserve">60 K€/an</t>
  </si>
  <si>
    <t xml:space="preserve">Amortissements</t>
  </si>
  <si>
    <t xml:space="preserve">80 K€/an</t>
  </si>
  <si>
    <t xml:space="preserve">Encadrement</t>
  </si>
  <si>
    <t xml:space="preserve">110 K€/an</t>
  </si>
  <si>
    <t xml:space="preserve">Capacité machine</t>
  </si>
  <si>
    <t xml:space="preserve">2 500 u/an</t>
  </si>
  <si>
    <t xml:space="preserve">3 machines × 833 u — ⚠ Optimiste : saturation</t>
  </si>
  <si>
    <t xml:space="preserve">Production Produit A</t>
  </si>
  <si>
    <t xml:space="preserve">Production Produit B</t>
  </si>
  <si>
    <t xml:space="preserve">Production Produit C</t>
  </si>
  <si>
    <t xml:space="preserve">Main d'œuvre directe</t>
  </si>
  <si>
    <t xml:space="preserve">Charges machine</t>
  </si>
  <si>
    <t xml:space="preserve">Énergie</t>
  </si>
  <si>
    <t xml:space="preserve">Maintenance</t>
  </si>
  <si>
    <t xml:space="preserve">TOTAL PRODUCTION</t>
  </si>
  <si>
    <t xml:space="preserve">Mission 06 · Budget des approvisionnements</t>
  </si>
  <si>
    <t xml:space="preserve">📌 FORMULE : Achats = Besoins production + Stock final − Stock initial</t>
  </si>
  <si>
    <t xml:space="preserve">Stock initial : 45 K€  |  Stock final cible : 48 K€  |  Inflation matières : +6 % (Réaliste)  |  Délai fournisseurs : 30 jours</t>
  </si>
  <si>
    <t xml:space="preserve">Emballages</t>
  </si>
  <si>
    <t xml:space="preserve">Transport</t>
  </si>
  <si>
    <t xml:space="preserve">Stock sécurité</t>
  </si>
  <si>
    <t xml:space="preserve">TOTAL APPROVISIONNEMENTS</t>
  </si>
  <si>
    <t xml:space="preserve">Mission 07 · Budget de trésorerie mensuel</t>
  </si>
  <si>
    <t xml:space="preserve">📌 Encaissements = Ventes J−75j  |  Décaissements fournisseurs = Achats J−30j</t>
  </si>
  <si>
    <t xml:space="preserve">Solde mensuel = Encaissements − Total décaissements  |  Trésorerie cumulée = Position initiale + cumul des soldes</t>
  </si>
  <si>
    <t xml:space="preserve">Encaissements clients</t>
  </si>
  <si>
    <t xml:space="preserve">Décaissements matières</t>
  </si>
  <si>
    <t xml:space="preserve">Décaissements emballages</t>
  </si>
  <si>
    <t xml:space="preserve">Salaires</t>
  </si>
  <si>
    <t xml:space="preserve">Charges sociales</t>
  </si>
  <si>
    <t xml:space="preserve">Impôts &amp; taxes</t>
  </si>
  <si>
    <t xml:space="preserve">TVA nette</t>
  </si>
  <si>
    <t xml:space="preserve">Remboursement emprunt</t>
  </si>
  <si>
    <t xml:space="preserve">Investissements</t>
  </si>
  <si>
    <t xml:space="preserve">TOTAL DÉCAISSEMENTS</t>
  </si>
  <si>
    <t xml:space="preserve">SOLDE MENSUEL</t>
  </si>
  <si>
    <t xml:space="preserve">TRÉSORERIE CUMULÉE</t>
  </si>
  <si>
    <t xml:space="preserve">Mission 08 · Analyse des écarts — Réel S1 vs Budget S1</t>
  </si>
  <si>
    <t xml:space="preserve">⚠ Réel S1 : CA −9,5 %  |  Inflation matières +8,1 %  |  Énergie +15 %</t>
  </si>
  <si>
    <t xml:space="preserve">Budget S1 (€)</t>
  </si>
  <si>
    <t xml:space="preserve">Réel S1 (€)</t>
  </si>
  <si>
    <t xml:space="preserve">Écart (€)</t>
  </si>
  <si>
    <t xml:space="preserve">Écart (%)</t>
  </si>
  <si>
    <t xml:space="preserve">Cause / Action</t>
  </si>
  <si>
    <t xml:space="preserve">Sous-performance commerciale — action : prospection S2</t>
  </si>
  <si>
    <t xml:space="preserve">Achats matières</t>
  </si>
  <si>
    <t xml:space="preserve">Inflation réelle +8,1 % vs +6 % → renégocier contrats</t>
  </si>
  <si>
    <t xml:space="preserve">À surveiller</t>
  </si>
  <si>
    <t xml:space="preserve">Main-d'œuvre</t>
  </si>
  <si>
    <t xml:space="preserve">Conforme budget</t>
  </si>
  <si>
    <t xml:space="preserve">Charges énergie</t>
  </si>
  <si>
    <t xml:space="preserve">Énergie +15 % vs +8 % → audit consommation</t>
  </si>
  <si>
    <t xml:space="preserve">TVA</t>
  </si>
  <si>
    <t xml:space="preserve">Favorable</t>
  </si>
  <si>
    <t xml:space="preserve">Trésorerie cumulée</t>
  </si>
  <si>
    <t xml:space="preserve">Découvert supérieur prévu → affacturage</t>
  </si>
  <si>
    <t xml:space="preserve">Résultat net estimé</t>
  </si>
  <si>
    <t xml:space="preserve">À recalculer avec écarts</t>
  </si>
  <si>
    <t xml:space="preserve">MARGE BRUTE (CA − matières − énergie)</t>
  </si>
  <si>
    <t xml:space="preserve">Budget S1</t>
  </si>
  <si>
    <t xml:space="preserve">Réel S1</t>
  </si>
  <si>
    <t xml:space="preserve">Écart</t>
  </si>
  <si>
    <t xml:space="preserve">Écart %</t>
  </si>
  <si>
    <t xml:space="preserve">Marge brute</t>
  </si>
  <si>
    <t xml:space="preserve">→ Triple impact : CA + matières + énergie</t>
  </si>
  <si>
    <t xml:space="preserve">VOTRE ANALYSE</t>
  </si>
  <si>
    <t xml:space="preserve">Écart le plus défavorable :</t>
  </si>
  <si>
    <t xml:space="preserve">Cause principale dégradation marge :</t>
  </si>
  <si>
    <t xml:space="preserve">Action corrective prioritaire S2 :</t>
  </si>
  <si>
    <t xml:space="preserve">Impact forecast annuel :</t>
  </si>
  <si>
    <t xml:space="preserve">Mission 09-10 · Forecast &amp; atterrissage annuel</t>
  </si>
  <si>
    <t xml:space="preserve">⚠ Hypothèses révisées après écarts S1  |  Délais clients négociés selon scénario</t>
  </si>
  <si>
    <t xml:space="preserve">PRUDENT — Aucune action — situation empire</t>
  </si>
  <si>
    <t xml:space="preserve">CA révisé (facturé)</t>
  </si>
  <si>
    <t xml:space="preserve">Charges décaissées</t>
  </si>
  <si>
    <t xml:space="preserve">Marge flux réels (Encaiss. − Déc.)</t>
  </si>
  <si>
    <t xml:space="preserve">IS estimé (−)</t>
  </si>
  <si>
    <t xml:space="preserve">RÉALISTE — Renégo matières + délais clients réduits à 55j</t>
  </si>
  <si>
    <t xml:space="preserve">OPTIMISTE — Toutes actions menées — délais réduits à 40j</t>
  </si>
  <si>
    <t xml:space="preserve">APPRENANT — À construire sur la base de vos analyses</t>
  </si>
  <si>
    <t xml:space="preserve">📋 PLAN D'ACTION S2 — À compléter</t>
  </si>
  <si>
    <t xml:space="preserve">Action</t>
  </si>
  <si>
    <t xml:space="preserve">Responsable</t>
  </si>
  <si>
    <t xml:space="preserve">Objectif chiffré</t>
  </si>
  <si>
    <t xml:space="preserve">Délai</t>
  </si>
  <si>
    <t xml:space="preserve">Impact attendu</t>
  </si>
  <si>
    <t xml:space="preserve">Action 1 :</t>
  </si>
  <si>
    <t xml:space="preserve">Action 2 :</t>
  </si>
  <si>
    <t xml:space="preserve">Action 3 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</si>
</sst>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€&quot;"/>
    <numFmt numFmtId="166" formatCode="0.0%"/>
    <numFmt numFmtId="167" formatCode="@"/>
    <numFmt numFmtId="168" formatCode="#,##0"/>
    <numFmt numFmtId="169" formatCode="&quot;FFF&quot;de\7"/>
    <numFmt numFmtId="170" formatCode="e&quot;8F5&quot;e\9"/>
    <numFmt numFmtId="171" formatCode="\Fde\Ce\A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D4037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E07A2E"/>
      <name val="Arial"/>
      <family val="0"/>
      <charset val="1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0"/>
      <color rgb="FF1565C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EEEEE"/>
      </patternFill>
    </fill>
    <fill>
      <patternFill patternType="solid">
        <fgColor rgb="FFE07A2E"/>
        <bgColor rgb="FFFF8080"/>
      </patternFill>
    </fill>
    <fill>
      <patternFill patternType="solid">
        <fgColor rgb="FF7AAB80"/>
        <bgColor rgb="FF888888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EEEEEE"/>
      </patternFill>
    </fill>
    <fill>
      <patternFill patternType="solid">
        <fgColor rgb="FFFFFDE7"/>
        <bgColor rgb="FFFFF3E0"/>
      </patternFill>
    </fill>
    <fill>
      <patternFill patternType="solid">
        <fgColor rgb="FFFDECEA"/>
        <bgColor rgb="FFFFF3E0"/>
      </patternFill>
    </fill>
    <fill>
      <patternFill patternType="solid">
        <fgColor rgb="FFFFF3E0"/>
        <bgColor rgb="FFFDECEA"/>
      </patternFill>
    </fill>
    <fill>
      <patternFill patternType="solid">
        <fgColor rgb="FFE3F2FD"/>
        <bgColor rgb="FFE8F5E9"/>
      </patternFill>
    </fill>
    <fill>
      <patternFill patternType="solid">
        <fgColor rgb="FFEEEEEE"/>
        <bgColor rgb="FFE8F5E9"/>
      </patternFill>
    </fill>
    <fill>
      <patternFill patternType="solid">
        <fgColor rgb="FFC0392B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88888"/>
      <rgbColor rgb="FF9999FF"/>
      <rgbColor rgb="FF5D4037"/>
      <rgbColor rgb="FFFFFDE7"/>
      <rgbColor rgb="FFE3F2FD"/>
      <rgbColor rgb="FF660066"/>
      <rgbColor rgb="FFFF8080"/>
      <rgbColor rgb="FF1565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FF3E0"/>
      <rgbColor rgb="FFF5F5F5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E07A2E"/>
      <rgbColor rgb="FF666666"/>
      <rgbColor rgb="FF7AAB80"/>
      <rgbColor rgb="FF003366"/>
      <rgbColor rgb="FF2E7D32"/>
      <rgbColor rgb="FF003300"/>
      <rgbColor rgb="FF1A1A1A"/>
      <rgbColor rgb="FFC0392B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2"/>
  </cols>
  <sheetData>
    <row r="1" customFormat="false" ht="21.7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15" hidden="false" customHeight="true" outlineLevel="0" collapsed="false">
      <c r="A13" s="4" t="s">
        <v>20</v>
      </c>
      <c r="B13" s="5" t="s">
        <v>21</v>
      </c>
    </row>
    <row r="15" customFormat="false" ht="15" hidden="false" customHeight="true" outlineLevel="0" collapsed="false">
      <c r="A15" s="6" t="s">
        <v>22</v>
      </c>
      <c r="B15" s="6"/>
    </row>
    <row r="16" customFormat="false" ht="15" hidden="false" customHeight="true" outlineLevel="0" collapsed="false">
      <c r="A16" s="4" t="s">
        <v>23</v>
      </c>
      <c r="B16" s="5" t="s">
        <v>24</v>
      </c>
    </row>
    <row r="17" customFormat="false" ht="15" hidden="false" customHeight="true" outlineLevel="0" collapsed="false">
      <c r="A17" s="4" t="s">
        <v>25</v>
      </c>
      <c r="B17" s="5" t="s">
        <v>26</v>
      </c>
    </row>
    <row r="18" customFormat="false" ht="15" hidden="false" customHeight="true" outlineLevel="0" collapsed="false">
      <c r="A18" s="4" t="s">
        <v>27</v>
      </c>
      <c r="B18" s="5" t="s">
        <v>28</v>
      </c>
    </row>
    <row r="19" customFormat="false" ht="15" hidden="false" customHeight="true" outlineLevel="0" collapsed="false">
      <c r="A19" s="4" t="s">
        <v>29</v>
      </c>
      <c r="B19" s="5" t="s">
        <v>30</v>
      </c>
    </row>
    <row r="21" customFormat="false" ht="15" hidden="false" customHeight="true" outlineLevel="0" collapsed="false">
      <c r="A21" s="7" t="s">
        <v>31</v>
      </c>
      <c r="B21" s="7"/>
    </row>
    <row r="22" customFormat="false" ht="15" hidden="false" customHeight="true" outlineLevel="0" collapsed="false">
      <c r="A22" s="4" t="s">
        <v>32</v>
      </c>
      <c r="B22" s="5" t="s">
        <v>33</v>
      </c>
    </row>
    <row r="23" customFormat="false" ht="15" hidden="false" customHeight="true" outlineLevel="0" collapsed="false">
      <c r="A23" s="4" t="s">
        <v>34</v>
      </c>
      <c r="B23" s="5" t="s">
        <v>35</v>
      </c>
    </row>
    <row r="24" customFormat="false" ht="15" hidden="false" customHeight="true" outlineLevel="0" collapsed="false">
      <c r="A24" s="4" t="s">
        <v>36</v>
      </c>
      <c r="B24" s="5" t="s">
        <v>37</v>
      </c>
    </row>
  </sheetData>
  <mergeCells count="4">
    <mergeCell ref="A1:B1"/>
    <mergeCell ref="A3:B3"/>
    <mergeCell ref="A15:B15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2" t="s">
        <v>38</v>
      </c>
      <c r="B1" s="2"/>
      <c r="C1" s="2"/>
      <c r="D1" s="2"/>
      <c r="E1" s="2"/>
      <c r="F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</row>
    <row r="4" customFormat="false" ht="15.75" hidden="false" customHeight="true" outlineLevel="0" collapsed="false">
      <c r="A4" s="3" t="s">
        <v>40</v>
      </c>
      <c r="B4" s="3"/>
      <c r="C4" s="3"/>
      <c r="D4" s="3"/>
    </row>
    <row r="5" customFormat="false" ht="18" hidden="false" customHeight="true" outlineLevel="0" collapsed="false">
      <c r="A5" s="9" t="s">
        <v>41</v>
      </c>
      <c r="B5" s="9" t="s">
        <v>42</v>
      </c>
      <c r="C5" s="9" t="s">
        <v>43</v>
      </c>
      <c r="D5" s="9" t="s">
        <v>42</v>
      </c>
    </row>
    <row r="6" customFormat="false" ht="15" hidden="false" customHeight="true" outlineLevel="0" collapsed="false">
      <c r="A6" s="10" t="s">
        <v>44</v>
      </c>
      <c r="B6" s="11" t="n">
        <v>350000</v>
      </c>
      <c r="C6" s="10" t="s">
        <v>45</v>
      </c>
      <c r="D6" s="11" t="n">
        <v>220000</v>
      </c>
    </row>
    <row r="7" customFormat="false" ht="15" hidden="false" customHeight="true" outlineLevel="0" collapsed="false">
      <c r="A7" s="10" t="s">
        <v>46</v>
      </c>
      <c r="B7" s="11" t="n">
        <v>90000</v>
      </c>
      <c r="C7" s="10" t="s">
        <v>47</v>
      </c>
      <c r="D7" s="11" t="n">
        <v>140000</v>
      </c>
    </row>
    <row r="8" customFormat="false" ht="15" hidden="false" customHeight="true" outlineLevel="0" collapsed="false">
      <c r="A8" s="10" t="s">
        <v>48</v>
      </c>
      <c r="B8" s="11" t="n">
        <v>110000</v>
      </c>
      <c r="C8" s="10" t="s">
        <v>49</v>
      </c>
      <c r="D8" s="11" t="n">
        <v>85000</v>
      </c>
    </row>
    <row r="9" customFormat="false" ht="15" hidden="false" customHeight="true" outlineLevel="0" collapsed="false">
      <c r="A9" s="10" t="s">
        <v>50</v>
      </c>
      <c r="B9" s="11" t="n">
        <v>15000</v>
      </c>
      <c r="C9" s="10" t="s">
        <v>51</v>
      </c>
      <c r="D9" s="11" t="n">
        <v>120000</v>
      </c>
    </row>
    <row r="10" customFormat="false" ht="15" hidden="false" customHeight="true" outlineLevel="0" collapsed="false">
      <c r="A10" s="12" t="s">
        <v>52</v>
      </c>
      <c r="B10" s="13" t="n">
        <f aca="false">B6+B7+B8+B9</f>
        <v>565000</v>
      </c>
      <c r="C10" s="12" t="s">
        <v>53</v>
      </c>
      <c r="D10" s="13" t="n">
        <f aca="false">D6+D7+D8+D9</f>
        <v>565000</v>
      </c>
    </row>
    <row r="12" customFormat="false" ht="15.75" hidden="false" customHeight="true" outlineLevel="0" collapsed="false">
      <c r="A12" s="3" t="s">
        <v>54</v>
      </c>
      <c r="B12" s="3"/>
      <c r="C12" s="3"/>
      <c r="D12" s="3"/>
    </row>
    <row r="13" customFormat="false" ht="18" hidden="false" customHeight="true" outlineLevel="0" collapsed="false">
      <c r="A13" s="9" t="s">
        <v>55</v>
      </c>
      <c r="B13" s="9" t="s">
        <v>42</v>
      </c>
      <c r="C13" s="9" t="s">
        <v>56</v>
      </c>
      <c r="D13" s="9" t="s">
        <v>57</v>
      </c>
    </row>
    <row r="14" customFormat="false" ht="15" hidden="false" customHeight="true" outlineLevel="0" collapsed="false">
      <c r="A14" s="10" t="s">
        <v>58</v>
      </c>
      <c r="B14" s="14" t="n">
        <v>1250000</v>
      </c>
      <c r="C14" s="15" t="n">
        <f aca="false">B14/B14</f>
        <v>1</v>
      </c>
      <c r="D14" s="16" t="s">
        <v>59</v>
      </c>
    </row>
    <row r="15" customFormat="false" ht="15" hidden="false" customHeight="true" outlineLevel="0" collapsed="false">
      <c r="A15" s="10" t="s">
        <v>60</v>
      </c>
      <c r="B15" s="14" t="n">
        <v>-620000</v>
      </c>
      <c r="C15" s="15" t="n">
        <f aca="false">B15/B14</f>
        <v>-0.496</v>
      </c>
      <c r="D15" s="16" t="s">
        <v>61</v>
      </c>
    </row>
    <row r="16" customFormat="false" ht="15" hidden="false" customHeight="true" outlineLevel="0" collapsed="false">
      <c r="A16" s="10" t="s">
        <v>62</v>
      </c>
      <c r="B16" s="14" t="n">
        <v>-320000</v>
      </c>
      <c r="C16" s="15" t="n">
        <f aca="false">B16/B14</f>
        <v>-0.256</v>
      </c>
      <c r="D16" s="16" t="s">
        <v>63</v>
      </c>
    </row>
    <row r="17" customFormat="false" ht="15" hidden="false" customHeight="true" outlineLevel="0" collapsed="false">
      <c r="A17" s="10" t="s">
        <v>64</v>
      </c>
      <c r="B17" s="14" t="n">
        <v>-140000</v>
      </c>
      <c r="C17" s="15" t="n">
        <f aca="false">B17/B14</f>
        <v>-0.112</v>
      </c>
      <c r="D17" s="16" t="s">
        <v>65</v>
      </c>
    </row>
    <row r="18" customFormat="false" ht="23.25" hidden="false" customHeight="true" outlineLevel="0" collapsed="false">
      <c r="A18" s="17" t="s">
        <v>66</v>
      </c>
      <c r="B18" s="13" t="n">
        <f aca="false">B14+B15+B16+B17</f>
        <v>170000</v>
      </c>
      <c r="C18" s="15" t="n">
        <f aca="false">B18/B14</f>
        <v>0.136</v>
      </c>
      <c r="D18" s="16" t="s">
        <v>67</v>
      </c>
    </row>
    <row r="19" customFormat="false" ht="15" hidden="false" customHeight="true" outlineLevel="0" collapsed="false">
      <c r="A19" s="10" t="s">
        <v>68</v>
      </c>
      <c r="B19" s="14" t="n">
        <v>-5000</v>
      </c>
      <c r="C19" s="15" t="n">
        <f aca="false">B19/B14</f>
        <v>-0.004</v>
      </c>
      <c r="D19" s="16" t="s">
        <v>69</v>
      </c>
    </row>
    <row r="20" customFormat="false" ht="15" hidden="false" customHeight="true" outlineLevel="0" collapsed="false">
      <c r="A20" s="10" t="s">
        <v>70</v>
      </c>
      <c r="B20" s="18" t="n">
        <f aca="false">B18+B19</f>
        <v>165000</v>
      </c>
      <c r="C20" s="15" t="n">
        <f aca="false">B20/B14</f>
        <v>0.132</v>
      </c>
      <c r="D20" s="16"/>
    </row>
    <row r="21" customFormat="false" ht="15" hidden="false" customHeight="true" outlineLevel="0" collapsed="false">
      <c r="A21" s="10" t="s">
        <v>71</v>
      </c>
      <c r="B21" s="18" t="n">
        <f aca="false">B20*-0.5</f>
        <v>-82500</v>
      </c>
      <c r="C21" s="15" t="n">
        <f aca="false">B21/B14</f>
        <v>-0.066</v>
      </c>
      <c r="D21" s="16" t="s">
        <v>72</v>
      </c>
    </row>
    <row r="22" customFormat="false" ht="15" hidden="false" customHeight="true" outlineLevel="0" collapsed="false">
      <c r="A22" s="17" t="s">
        <v>73</v>
      </c>
      <c r="B22" s="13" t="n">
        <f aca="false">B20+B21</f>
        <v>82500</v>
      </c>
      <c r="C22" s="15" t="n">
        <f aca="false">B22/B14</f>
        <v>0.066</v>
      </c>
      <c r="D22" s="16" t="s">
        <v>74</v>
      </c>
    </row>
    <row r="24" customFormat="false" ht="15.75" hidden="false" customHeight="true" outlineLevel="0" collapsed="false">
      <c r="A24" s="3" t="s">
        <v>75</v>
      </c>
      <c r="B24" s="3"/>
      <c r="C24" s="3"/>
      <c r="D24" s="3"/>
    </row>
    <row r="25" customFormat="false" ht="18" hidden="false" customHeight="true" outlineLevel="0" collapsed="false">
      <c r="A25" s="9" t="s">
        <v>76</v>
      </c>
      <c r="B25" s="9" t="s">
        <v>42</v>
      </c>
      <c r="C25" s="9" t="s">
        <v>77</v>
      </c>
      <c r="D25" s="9" t="s">
        <v>78</v>
      </c>
    </row>
    <row r="26" customFormat="false" ht="15" hidden="false" customHeight="true" outlineLevel="0" collapsed="false">
      <c r="A26" s="10" t="s">
        <v>79</v>
      </c>
      <c r="B26" s="14" t="n">
        <v>1250000</v>
      </c>
      <c r="C26" s="15" t="n">
        <f aca="false">B26/B26</f>
        <v>1</v>
      </c>
      <c r="D26" s="19" t="s">
        <v>80</v>
      </c>
    </row>
    <row r="27" customFormat="false" ht="45.75" hidden="false" customHeight="true" outlineLevel="0" collapsed="false">
      <c r="A27" s="17" t="s">
        <v>81</v>
      </c>
      <c r="B27" s="13" t="n">
        <v>310000</v>
      </c>
      <c r="C27" s="15" t="n">
        <f aca="false">B27/B26</f>
        <v>0.248</v>
      </c>
      <c r="D27" s="19" t="s">
        <v>82</v>
      </c>
    </row>
    <row r="28" customFormat="false" ht="34.5" hidden="false" customHeight="true" outlineLevel="0" collapsed="false">
      <c r="A28" s="17" t="s">
        <v>83</v>
      </c>
      <c r="B28" s="13" t="n">
        <v>180000</v>
      </c>
      <c r="C28" s="15" t="n">
        <f aca="false">B28/B26</f>
        <v>0.144</v>
      </c>
      <c r="D28" s="19" t="s">
        <v>84</v>
      </c>
    </row>
    <row r="29" customFormat="false" ht="23.25" hidden="false" customHeight="true" outlineLevel="0" collapsed="false">
      <c r="A29" s="10" t="s">
        <v>85</v>
      </c>
      <c r="B29" s="14" t="n">
        <v>170000</v>
      </c>
      <c r="C29" s="15" t="n">
        <f aca="false">B29/B26</f>
        <v>0.136</v>
      </c>
      <c r="D29" s="19" t="s">
        <v>86</v>
      </c>
    </row>
    <row r="30" customFormat="false" ht="34.5" hidden="false" customHeight="true" outlineLevel="0" collapsed="false">
      <c r="A30" s="17" t="s">
        <v>87</v>
      </c>
      <c r="B30" s="13" t="n">
        <v>85000</v>
      </c>
      <c r="C30" s="15" t="n">
        <f aca="false">B30/B26</f>
        <v>0.068</v>
      </c>
      <c r="D30" s="19" t="s">
        <v>88</v>
      </c>
    </row>
    <row r="31" customFormat="false" ht="15" hidden="false" customHeight="true" outlineLevel="0" collapsed="false">
      <c r="A31" s="17" t="s">
        <v>89</v>
      </c>
      <c r="B31" s="13" t="n">
        <f aca="false">B43-B49</f>
        <v>325000</v>
      </c>
      <c r="C31" s="15" t="n">
        <f aca="false">B31/B26</f>
        <v>0.26</v>
      </c>
      <c r="D31" s="19" t="s">
        <v>90</v>
      </c>
    </row>
    <row r="33" customFormat="false" ht="15.75" hidden="false" customHeight="true" outlineLevel="0" collapsed="false">
      <c r="A33" s="3" t="s">
        <v>91</v>
      </c>
      <c r="B33" s="3"/>
      <c r="C33" s="3"/>
      <c r="D33" s="3"/>
      <c r="E33" s="3"/>
      <c r="F33" s="3"/>
    </row>
    <row r="34" customFormat="false" ht="18" hidden="false" customHeight="true" outlineLevel="0" collapsed="false">
      <c r="A34" s="9" t="s">
        <v>92</v>
      </c>
      <c r="B34" s="9" t="s">
        <v>42</v>
      </c>
      <c r="C34" s="9" t="s">
        <v>93</v>
      </c>
    </row>
    <row r="35" customFormat="false" ht="15" hidden="false" customHeight="true" outlineLevel="0" collapsed="false">
      <c r="A35" s="10" t="s">
        <v>94</v>
      </c>
      <c r="B35" s="18" t="n">
        <f aca="false">D7+D8</f>
        <v>225000</v>
      </c>
      <c r="C35" s="20" t="s">
        <v>95</v>
      </c>
    </row>
    <row r="36" customFormat="false" ht="15" hidden="false" customHeight="true" outlineLevel="0" collapsed="false">
      <c r="A36" s="10" t="s">
        <v>96</v>
      </c>
      <c r="B36" s="18" t="n">
        <f aca="false">B6</f>
        <v>350000</v>
      </c>
      <c r="C36" s="20" t="s">
        <v>97</v>
      </c>
    </row>
    <row r="37" customFormat="false" ht="23.25" hidden="false" customHeight="true" outlineLevel="0" collapsed="false">
      <c r="A37" s="17" t="s">
        <v>98</v>
      </c>
      <c r="B37" s="13" t="n">
        <f aca="false">B35-B36</f>
        <v>-125000</v>
      </c>
      <c r="C37" s="20" t="s">
        <v>99</v>
      </c>
    </row>
    <row r="39" customFormat="false" ht="18" hidden="false" customHeight="true" outlineLevel="0" collapsed="false">
      <c r="A39" s="9" t="s">
        <v>100</v>
      </c>
      <c r="B39" s="9" t="s">
        <v>42</v>
      </c>
      <c r="C39" s="9" t="s">
        <v>101</v>
      </c>
    </row>
    <row r="40" customFormat="false" ht="15" hidden="false" customHeight="true" outlineLevel="0" collapsed="false">
      <c r="A40" s="10" t="s">
        <v>102</v>
      </c>
      <c r="B40" s="18" t="n">
        <f aca="false">B7</f>
        <v>90000</v>
      </c>
      <c r="C40" s="16" t="s">
        <v>103</v>
      </c>
    </row>
    <row r="41" customFormat="false" ht="15" hidden="false" customHeight="true" outlineLevel="0" collapsed="false">
      <c r="A41" s="10" t="s">
        <v>48</v>
      </c>
      <c r="B41" s="18" t="n">
        <f aca="false">B8</f>
        <v>110000</v>
      </c>
      <c r="C41" s="16" t="s">
        <v>104</v>
      </c>
    </row>
    <row r="42" customFormat="false" ht="15" hidden="false" customHeight="true" outlineLevel="0" collapsed="false">
      <c r="A42" s="17" t="s">
        <v>105</v>
      </c>
      <c r="B42" s="13" t="n">
        <f aca="false">B40+B41</f>
        <v>200000</v>
      </c>
      <c r="C42" s="16" t="s">
        <v>106</v>
      </c>
    </row>
    <row r="43" customFormat="false" ht="15" hidden="false" customHeight="true" outlineLevel="0" collapsed="false">
      <c r="A43" s="10" t="s">
        <v>49</v>
      </c>
      <c r="B43" s="18" t="n">
        <f aca="false">D9</f>
        <v>120000</v>
      </c>
      <c r="C43" s="16" t="s">
        <v>107</v>
      </c>
    </row>
    <row r="44" customFormat="false" ht="23.25" hidden="false" customHeight="true" outlineLevel="0" collapsed="false">
      <c r="A44" s="17" t="s">
        <v>108</v>
      </c>
      <c r="B44" s="13" t="n">
        <f aca="false">B42-B43</f>
        <v>80000</v>
      </c>
      <c r="C44" s="16" t="s">
        <v>109</v>
      </c>
    </row>
    <row r="46" customFormat="false" ht="18" hidden="false" customHeight="true" outlineLevel="0" collapsed="false">
      <c r="A46" s="9" t="s">
        <v>110</v>
      </c>
      <c r="B46" s="9" t="s">
        <v>42</v>
      </c>
      <c r="C46" s="9" t="s">
        <v>78</v>
      </c>
    </row>
    <row r="47" customFormat="false" ht="15" hidden="false" customHeight="true" outlineLevel="0" collapsed="false">
      <c r="A47" s="10" t="s">
        <v>111</v>
      </c>
      <c r="B47" s="18" t="n">
        <f aca="false">B37</f>
        <v>-125000</v>
      </c>
      <c r="C47" s="16"/>
    </row>
    <row r="48" customFormat="false" ht="15" hidden="false" customHeight="true" outlineLevel="0" collapsed="false">
      <c r="A48" s="10" t="s">
        <v>112</v>
      </c>
      <c r="B48" s="18" t="n">
        <f aca="false">B44</f>
        <v>80000</v>
      </c>
      <c r="C48" s="16"/>
    </row>
    <row r="49" customFormat="false" ht="23.25" hidden="false" customHeight="true" outlineLevel="0" collapsed="false">
      <c r="A49" s="21" t="s">
        <v>113</v>
      </c>
      <c r="B49" s="22" t="n">
        <f aca="false">B47-B48</f>
        <v>-205000</v>
      </c>
      <c r="C49" s="23" t="s">
        <v>114</v>
      </c>
    </row>
    <row r="51" customFormat="false" ht="15.75" hidden="false" customHeight="true" outlineLevel="0" collapsed="false">
      <c r="A51" s="6" t="s">
        <v>115</v>
      </c>
      <c r="B51" s="6"/>
      <c r="C51" s="6"/>
      <c r="D51" s="6"/>
      <c r="E51" s="6"/>
      <c r="F51" s="6"/>
    </row>
    <row r="52" customFormat="false" ht="15" hidden="false" customHeight="true" outlineLevel="0" collapsed="false">
      <c r="A52" s="24" t="s">
        <v>116</v>
      </c>
      <c r="B52" s="24"/>
      <c r="C52" s="24"/>
      <c r="D52" s="24"/>
      <c r="E52" s="24"/>
      <c r="F52" s="24"/>
    </row>
    <row r="53" customFormat="false" ht="27.75" hidden="false" customHeight="true" outlineLevel="0" collapsed="false">
      <c r="A53" s="25"/>
      <c r="B53" s="25"/>
      <c r="C53" s="25"/>
      <c r="D53" s="25"/>
      <c r="E53" s="25"/>
      <c r="F53" s="25"/>
    </row>
    <row r="54" customFormat="false" ht="15" hidden="false" customHeight="true" outlineLevel="0" collapsed="false">
      <c r="A54" s="24" t="s">
        <v>117</v>
      </c>
      <c r="B54" s="24"/>
      <c r="C54" s="24"/>
      <c r="D54" s="24"/>
      <c r="E54" s="24"/>
      <c r="F54" s="24"/>
    </row>
    <row r="55" customFormat="false" ht="27.75" hidden="false" customHeight="true" outlineLevel="0" collapsed="false">
      <c r="A55" s="25"/>
      <c r="B55" s="25"/>
      <c r="C55" s="25"/>
      <c r="D55" s="25"/>
      <c r="E55" s="25"/>
      <c r="F55" s="25"/>
    </row>
    <row r="56" customFormat="false" ht="15" hidden="false" customHeight="true" outlineLevel="0" collapsed="false">
      <c r="A56" s="24" t="s">
        <v>118</v>
      </c>
      <c r="B56" s="24"/>
      <c r="C56" s="24"/>
      <c r="D56" s="24"/>
      <c r="E56" s="24"/>
      <c r="F56" s="24"/>
    </row>
    <row r="57" customFormat="false" ht="27.75" hidden="false" customHeight="true" outlineLevel="0" collapsed="false">
      <c r="A57" s="25"/>
      <c r="B57" s="25"/>
      <c r="C57" s="25"/>
      <c r="D57" s="25"/>
      <c r="E57" s="25"/>
      <c r="F57" s="25"/>
    </row>
    <row r="58" customFormat="false" ht="12" hidden="false" customHeight="true" outlineLevel="0" collapsed="false">
      <c r="A58" s="24" t="s">
        <v>119</v>
      </c>
      <c r="B58" s="24"/>
      <c r="C58" s="24"/>
      <c r="D58" s="24"/>
      <c r="E58" s="24"/>
      <c r="F58" s="24"/>
    </row>
    <row r="59" customFormat="false" ht="27.75" hidden="false" customHeight="true" outlineLevel="0" collapsed="false">
      <c r="A59" s="25"/>
      <c r="B59" s="25"/>
      <c r="C59" s="25"/>
      <c r="D59" s="25"/>
      <c r="E59" s="25"/>
      <c r="F59" s="25"/>
    </row>
  </sheetData>
  <mergeCells count="11">
    <mergeCell ref="A1:F1"/>
    <mergeCell ref="A2:F2"/>
    <mergeCell ref="A4:D4"/>
    <mergeCell ref="A12:D12"/>
    <mergeCell ref="A24:D24"/>
    <mergeCell ref="A33:F33"/>
    <mergeCell ref="A51:F51"/>
    <mergeCell ref="A52:F52"/>
    <mergeCell ref="A54:F54"/>
    <mergeCell ref="A56:F56"/>
    <mergeCell ref="A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</cols>
  <sheetData>
    <row r="1" customFormat="false" ht="19.5" hidden="false" customHeight="true" outlineLevel="0" collapsed="false">
      <c r="A1" s="26" t="s">
        <v>120</v>
      </c>
    </row>
    <row r="3" customFormat="false" ht="15" hidden="false" customHeight="true" outlineLevel="0" collapsed="false">
      <c r="A3" s="27" t="s">
        <v>121</v>
      </c>
      <c r="B3" s="28" t="s">
        <v>122</v>
      </c>
    </row>
    <row r="4" customFormat="false" ht="15" hidden="false" customHeight="true" outlineLevel="0" collapsed="false">
      <c r="A4" s="27" t="s">
        <v>123</v>
      </c>
      <c r="B4" s="28" t="s">
        <v>124</v>
      </c>
    </row>
    <row r="5" customFormat="false" ht="15" hidden="false" customHeight="true" outlineLevel="0" collapsed="false">
      <c r="A5" s="27" t="s">
        <v>125</v>
      </c>
      <c r="B5" s="28" t="s">
        <v>126</v>
      </c>
    </row>
    <row r="6" customFormat="false" ht="15" hidden="false" customHeight="true" outlineLevel="0" collapsed="false">
      <c r="A6" s="27" t="s">
        <v>127</v>
      </c>
      <c r="B6" s="28" t="s">
        <v>128</v>
      </c>
    </row>
    <row r="10" customFormat="false" ht="17.25" hidden="false" customHeight="true" outlineLevel="0" collapsed="false">
      <c r="A10" s="29" t="s">
        <v>129</v>
      </c>
    </row>
    <row r="11" customFormat="false" ht="15" hidden="false" customHeight="true" outlineLevel="0" collapsed="false">
      <c r="A11" s="30" t="s">
        <v>41</v>
      </c>
      <c r="B11" s="30" t="s">
        <v>130</v>
      </c>
      <c r="C11" s="30" t="s">
        <v>43</v>
      </c>
      <c r="D11" s="30" t="s">
        <v>130</v>
      </c>
    </row>
    <row r="12" customFormat="false" ht="15" hidden="false" customHeight="true" outlineLevel="0" collapsed="false">
      <c r="A12" s="31" t="s">
        <v>131</v>
      </c>
      <c r="B12" s="31" t="n">
        <v>350000</v>
      </c>
      <c r="C12" s="31" t="s">
        <v>45</v>
      </c>
      <c r="D12" s="31" t="n">
        <v>220000</v>
      </c>
    </row>
    <row r="13" customFormat="false" ht="15" hidden="false" customHeight="true" outlineLevel="0" collapsed="false">
      <c r="A13" s="31" t="s">
        <v>132</v>
      </c>
      <c r="B13" s="31" t="n">
        <v>90000</v>
      </c>
      <c r="C13" s="31" t="s">
        <v>133</v>
      </c>
      <c r="D13" s="31" t="n">
        <v>140000</v>
      </c>
    </row>
    <row r="14" customFormat="false" ht="15" hidden="false" customHeight="true" outlineLevel="0" collapsed="false">
      <c r="A14" s="31" t="s">
        <v>134</v>
      </c>
      <c r="B14" s="31" t="n">
        <v>110000</v>
      </c>
      <c r="C14" s="31" t="s">
        <v>135</v>
      </c>
      <c r="D14" s="31" t="n">
        <v>85000</v>
      </c>
    </row>
    <row r="15" customFormat="false" ht="15" hidden="false" customHeight="true" outlineLevel="0" collapsed="false">
      <c r="A15" s="31" t="s">
        <v>136</v>
      </c>
      <c r="B15" s="31" t="n">
        <v>15000</v>
      </c>
      <c r="C15" s="31" t="s">
        <v>51</v>
      </c>
      <c r="D15" s="31" t="n">
        <v>120000</v>
      </c>
    </row>
    <row r="18" customFormat="false" ht="17.25" hidden="false" customHeight="true" outlineLevel="0" collapsed="false">
      <c r="A18" s="29" t="s">
        <v>137</v>
      </c>
    </row>
    <row r="19" customFormat="false" ht="15" hidden="false" customHeight="true" outlineLevel="0" collapsed="false">
      <c r="A19" s="30" t="s">
        <v>55</v>
      </c>
      <c r="B19" s="30" t="s">
        <v>130</v>
      </c>
    </row>
    <row r="20" customFormat="false" ht="15" hidden="false" customHeight="true" outlineLevel="0" collapsed="false">
      <c r="A20" s="31" t="s">
        <v>58</v>
      </c>
      <c r="B20" s="31" t="n">
        <v>1250000</v>
      </c>
    </row>
    <row r="21" customFormat="false" ht="15" hidden="false" customHeight="true" outlineLevel="0" collapsed="false">
      <c r="A21" s="31" t="s">
        <v>60</v>
      </c>
      <c r="B21" s="31" t="n">
        <v>-620000</v>
      </c>
    </row>
    <row r="22" customFormat="false" ht="15" hidden="false" customHeight="true" outlineLevel="0" collapsed="false">
      <c r="A22" s="31" t="s">
        <v>138</v>
      </c>
      <c r="B22" s="31" t="n">
        <v>-320000</v>
      </c>
    </row>
    <row r="23" customFormat="false" ht="15" hidden="false" customHeight="true" outlineLevel="0" collapsed="false">
      <c r="A23" s="31" t="s">
        <v>64</v>
      </c>
      <c r="B23" s="31" t="n">
        <v>-140000</v>
      </c>
    </row>
    <row r="24" customFormat="false" ht="15" hidden="false" customHeight="true" outlineLevel="0" collapsed="false">
      <c r="A24" s="31" t="s">
        <v>66</v>
      </c>
      <c r="B24" s="31" t="n">
        <v>170000</v>
      </c>
    </row>
    <row r="25" customFormat="false" ht="15" hidden="false" customHeight="true" outlineLevel="0" collapsed="false">
      <c r="A25" s="31" t="s">
        <v>87</v>
      </c>
      <c r="B25" s="31" t="n">
        <v>85000</v>
      </c>
    </row>
    <row r="28" customFormat="false" ht="17.25" hidden="false" customHeight="true" outlineLevel="0" collapsed="false">
      <c r="A28" s="29" t="s">
        <v>139</v>
      </c>
    </row>
    <row r="29" customFormat="false" ht="15" hidden="false" customHeight="true" outlineLevel="0" collapsed="false">
      <c r="A29" s="30" t="s">
        <v>140</v>
      </c>
      <c r="B29" s="30" t="s">
        <v>130</v>
      </c>
      <c r="C29" s="30" t="s">
        <v>57</v>
      </c>
    </row>
    <row r="30" customFormat="false" ht="15" hidden="false" customHeight="true" outlineLevel="0" collapsed="false">
      <c r="A30" s="31" t="s">
        <v>141</v>
      </c>
      <c r="B30" s="31" t="n">
        <v>420000</v>
      </c>
      <c r="C30" s="31" t="s">
        <v>142</v>
      </c>
    </row>
    <row r="31" customFormat="false" ht="15" hidden="false" customHeight="true" outlineLevel="0" collapsed="false">
      <c r="A31" s="31" t="s">
        <v>143</v>
      </c>
      <c r="B31" s="31" t="n">
        <v>310000</v>
      </c>
      <c r="C31" s="31" t="s">
        <v>144</v>
      </c>
    </row>
    <row r="32" customFormat="false" ht="15" hidden="false" customHeight="true" outlineLevel="0" collapsed="false">
      <c r="A32" s="31" t="s">
        <v>145</v>
      </c>
      <c r="B32" s="31" t="n">
        <v>180000</v>
      </c>
      <c r="C32" s="31" t="s">
        <v>146</v>
      </c>
    </row>
    <row r="33" customFormat="false" ht="15" hidden="false" customHeight="true" outlineLevel="0" collapsed="false">
      <c r="A33" s="31" t="s">
        <v>147</v>
      </c>
      <c r="B33" s="31" t="n">
        <v>170000</v>
      </c>
      <c r="C33" s="3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8"/>
  </cols>
  <sheetData>
    <row r="1" customFormat="false" ht="19.5" hidden="false" customHeight="true" outlineLevel="0" collapsed="false">
      <c r="A1" s="26" t="s">
        <v>149</v>
      </c>
    </row>
    <row r="3" customFormat="false" ht="15" hidden="false" customHeight="true" outlineLevel="0" collapsed="false">
      <c r="A3" s="32" t="s">
        <v>150</v>
      </c>
      <c r="B3" s="32"/>
      <c r="C3" s="32"/>
      <c r="D3" s="32"/>
    </row>
    <row r="4" customFormat="false" ht="15" hidden="false" customHeight="true" outlineLevel="0" collapsed="false">
      <c r="A4" s="33"/>
      <c r="B4" s="33"/>
      <c r="C4" s="33"/>
      <c r="D4" s="33"/>
    </row>
    <row r="5" customFormat="false" ht="15" hidden="false" customHeight="true" outlineLevel="0" collapsed="false">
      <c r="A5" s="33"/>
      <c r="B5" s="33"/>
      <c r="C5" s="33"/>
      <c r="D5" s="33"/>
    </row>
    <row r="6" customFormat="false" ht="15" hidden="false" customHeight="true" outlineLevel="0" collapsed="false">
      <c r="A6" s="33"/>
      <c r="B6" s="33"/>
      <c r="C6" s="33"/>
      <c r="D6" s="33"/>
    </row>
    <row r="7" customFormat="false" ht="15" hidden="false" customHeight="true" outlineLevel="0" collapsed="false">
      <c r="A7" s="33"/>
      <c r="B7" s="33"/>
      <c r="C7" s="33"/>
      <c r="D7" s="33"/>
    </row>
    <row r="8" customFormat="false" ht="15" hidden="false" customHeight="true" outlineLevel="0" collapsed="false">
      <c r="A8" s="33"/>
      <c r="B8" s="33"/>
      <c r="C8" s="33"/>
      <c r="D8" s="33"/>
    </row>
    <row r="10" customFormat="false" ht="15" hidden="false" customHeight="true" outlineLevel="0" collapsed="false">
      <c r="A10" s="32" t="s">
        <v>151</v>
      </c>
      <c r="B10" s="32"/>
      <c r="C10" s="32"/>
      <c r="D10" s="32"/>
    </row>
    <row r="11" customFormat="false" ht="15" hidden="false" customHeight="true" outlineLevel="0" collapsed="false">
      <c r="A11" s="33"/>
      <c r="B11" s="33"/>
      <c r="C11" s="33"/>
      <c r="D11" s="33"/>
    </row>
    <row r="12" customFormat="false" ht="15" hidden="false" customHeight="true" outlineLevel="0" collapsed="false">
      <c r="A12" s="33"/>
      <c r="B12" s="33"/>
      <c r="C12" s="33"/>
      <c r="D12" s="33"/>
    </row>
    <row r="13" customFormat="false" ht="15" hidden="false" customHeight="true" outlineLevel="0" collapsed="false">
      <c r="A13" s="33"/>
      <c r="B13" s="33"/>
      <c r="C13" s="33"/>
      <c r="D13" s="33"/>
    </row>
    <row r="14" customFormat="false" ht="15" hidden="false" customHeight="true" outlineLevel="0" collapsed="false">
      <c r="A14" s="33"/>
      <c r="B14" s="33"/>
      <c r="C14" s="33"/>
      <c r="D14" s="33"/>
    </row>
    <row r="15" customFormat="false" ht="15" hidden="false" customHeight="true" outlineLevel="0" collapsed="false">
      <c r="A15" s="33"/>
      <c r="B15" s="33"/>
      <c r="C15" s="33"/>
      <c r="D15" s="33"/>
    </row>
    <row r="17" customFormat="false" ht="15" hidden="false" customHeight="true" outlineLevel="0" collapsed="false">
      <c r="A17" s="32" t="s">
        <v>152</v>
      </c>
      <c r="B17" s="32"/>
      <c r="C17" s="32"/>
      <c r="D17" s="32"/>
    </row>
    <row r="18" customFormat="false" ht="15" hidden="false" customHeight="true" outlineLevel="0" collapsed="false">
      <c r="A18" s="33"/>
      <c r="B18" s="33"/>
      <c r="C18" s="33"/>
      <c r="D18" s="33"/>
    </row>
    <row r="19" customFormat="false" ht="15" hidden="false" customHeight="true" outlineLevel="0" collapsed="false">
      <c r="A19" s="33"/>
      <c r="B19" s="33"/>
      <c r="C19" s="33"/>
      <c r="D19" s="33"/>
    </row>
    <row r="20" customFormat="false" ht="15" hidden="false" customHeight="true" outlineLevel="0" collapsed="false">
      <c r="A20" s="33"/>
      <c r="B20" s="33"/>
      <c r="C20" s="33"/>
      <c r="D20" s="33"/>
    </row>
    <row r="21" customFormat="false" ht="15" hidden="false" customHeight="true" outlineLevel="0" collapsed="false">
      <c r="A21" s="33"/>
      <c r="B21" s="33"/>
      <c r="C21" s="33"/>
      <c r="D21" s="33"/>
    </row>
    <row r="22" customFormat="false" ht="15" hidden="false" customHeight="true" outlineLevel="0" collapsed="false">
      <c r="A22" s="33"/>
      <c r="B22" s="33"/>
      <c r="C22" s="33"/>
      <c r="D22" s="33"/>
    </row>
    <row r="24" customFormat="false" ht="15" hidden="false" customHeight="true" outlineLevel="0" collapsed="false">
      <c r="A24" s="32" t="s">
        <v>153</v>
      </c>
      <c r="B24" s="32"/>
      <c r="C24" s="32"/>
      <c r="D24" s="32"/>
    </row>
    <row r="25" customFormat="false" ht="15" hidden="false" customHeight="true" outlineLevel="0" collapsed="false">
      <c r="A25" s="33"/>
      <c r="B25" s="33"/>
      <c r="C25" s="33"/>
      <c r="D25" s="33"/>
    </row>
    <row r="26" customFormat="false" ht="15" hidden="false" customHeight="true" outlineLevel="0" collapsed="false">
      <c r="A26" s="33"/>
      <c r="B26" s="33"/>
      <c r="C26" s="33"/>
      <c r="D26" s="33"/>
    </row>
    <row r="27" customFormat="false" ht="15" hidden="false" customHeight="true" outlineLevel="0" collapsed="false">
      <c r="A27" s="33"/>
      <c r="B27" s="33"/>
      <c r="C27" s="33"/>
      <c r="D27" s="33"/>
    </row>
    <row r="28" customFormat="false" ht="15" hidden="false" customHeight="true" outlineLevel="0" collapsed="false">
      <c r="A28" s="33"/>
      <c r="B28" s="33"/>
      <c r="C28" s="33"/>
      <c r="D28" s="33"/>
    </row>
    <row r="29" customFormat="false" ht="15" hidden="false" customHeight="true" outlineLevel="0" collapsed="false">
      <c r="A29" s="33"/>
      <c r="B29" s="33"/>
      <c r="C29" s="33"/>
      <c r="D29" s="33"/>
    </row>
    <row r="33" customFormat="false" ht="19.5" hidden="false" customHeight="true" outlineLevel="0" collapsed="false">
      <c r="A33" s="26" t="s">
        <v>154</v>
      </c>
    </row>
    <row r="35" customFormat="false" ht="15" hidden="false" customHeight="true" outlineLevel="0" collapsed="false">
      <c r="A35" s="32" t="s">
        <v>155</v>
      </c>
      <c r="B35" s="32"/>
      <c r="C35" s="32"/>
      <c r="D35" s="32"/>
    </row>
    <row r="36" customFormat="false" ht="15" hidden="false" customHeight="true" outlineLevel="0" collapsed="false">
      <c r="A36" s="33"/>
      <c r="B36" s="33"/>
      <c r="C36" s="33"/>
      <c r="D36" s="33"/>
    </row>
    <row r="37" customFormat="false" ht="15" hidden="false" customHeight="true" outlineLevel="0" collapsed="false">
      <c r="A37" s="33"/>
      <c r="B37" s="33"/>
      <c r="C37" s="33"/>
      <c r="D37" s="33"/>
    </row>
    <row r="38" customFormat="false" ht="15" hidden="false" customHeight="true" outlineLevel="0" collapsed="false">
      <c r="A38" s="33"/>
      <c r="B38" s="33"/>
      <c r="C38" s="33"/>
      <c r="D38" s="33"/>
    </row>
    <row r="39" customFormat="false" ht="15" hidden="false" customHeight="true" outlineLevel="0" collapsed="false">
      <c r="A39" s="33"/>
      <c r="B39" s="33"/>
      <c r="C39" s="33"/>
      <c r="D39" s="33"/>
    </row>
    <row r="41" customFormat="false" ht="15" hidden="false" customHeight="true" outlineLevel="0" collapsed="false">
      <c r="A41" s="32" t="s">
        <v>156</v>
      </c>
      <c r="B41" s="32"/>
      <c r="C41" s="32"/>
      <c r="D41" s="32"/>
    </row>
    <row r="42" customFormat="false" ht="15" hidden="false" customHeight="true" outlineLevel="0" collapsed="false">
      <c r="A42" s="33"/>
      <c r="B42" s="33"/>
      <c r="C42" s="33"/>
      <c r="D42" s="33"/>
    </row>
    <row r="43" customFormat="false" ht="15" hidden="false" customHeight="true" outlineLevel="0" collapsed="false">
      <c r="A43" s="33"/>
      <c r="B43" s="33"/>
      <c r="C43" s="33"/>
      <c r="D43" s="33"/>
    </row>
    <row r="44" customFormat="false" ht="15" hidden="false" customHeight="true" outlineLevel="0" collapsed="false">
      <c r="A44" s="33"/>
      <c r="B44" s="33"/>
      <c r="C44" s="33"/>
      <c r="D44" s="33"/>
    </row>
    <row r="45" customFormat="false" ht="15" hidden="false" customHeight="true" outlineLevel="0" collapsed="false">
      <c r="A45" s="33"/>
      <c r="B45" s="33"/>
      <c r="C45" s="33"/>
      <c r="D45" s="33"/>
    </row>
    <row r="47" customFormat="false" ht="15" hidden="false" customHeight="true" outlineLevel="0" collapsed="false">
      <c r="A47" s="32" t="s">
        <v>157</v>
      </c>
      <c r="B47" s="32"/>
      <c r="C47" s="32"/>
      <c r="D47" s="32"/>
    </row>
    <row r="48" customFormat="false" ht="15" hidden="false" customHeight="true" outlineLevel="0" collapsed="false">
      <c r="A48" s="33"/>
      <c r="B48" s="33"/>
      <c r="C48" s="33"/>
      <c r="D48" s="33"/>
    </row>
    <row r="49" customFormat="false" ht="15" hidden="false" customHeight="true" outlineLevel="0" collapsed="false">
      <c r="A49" s="33"/>
      <c r="B49" s="33"/>
      <c r="C49" s="33"/>
      <c r="D49" s="33"/>
    </row>
    <row r="50" customFormat="false" ht="15" hidden="false" customHeight="true" outlineLevel="0" collapsed="false">
      <c r="A50" s="33"/>
      <c r="B50" s="33"/>
      <c r="C50" s="33"/>
      <c r="D50" s="33"/>
    </row>
    <row r="51" customFormat="false" ht="15" hidden="false" customHeight="true" outlineLevel="0" collapsed="false">
      <c r="A51" s="33"/>
      <c r="B51" s="33"/>
      <c r="C51" s="33"/>
      <c r="D51" s="33"/>
    </row>
    <row r="53" customFormat="false" ht="15" hidden="false" customHeight="true" outlineLevel="0" collapsed="false">
      <c r="A53" s="32" t="s">
        <v>158</v>
      </c>
      <c r="B53" s="32"/>
      <c r="C53" s="32"/>
      <c r="D53" s="32"/>
    </row>
    <row r="54" customFormat="false" ht="15" hidden="false" customHeight="true" outlineLevel="0" collapsed="false">
      <c r="A54" s="33"/>
      <c r="B54" s="33"/>
      <c r="C54" s="33"/>
      <c r="D54" s="33"/>
    </row>
    <row r="55" customFormat="false" ht="15" hidden="false" customHeight="true" outlineLevel="0" collapsed="false">
      <c r="A55" s="33"/>
      <c r="B55" s="33"/>
      <c r="C55" s="33"/>
      <c r="D55" s="33"/>
    </row>
    <row r="56" customFormat="false" ht="15" hidden="false" customHeight="true" outlineLevel="0" collapsed="false">
      <c r="A56" s="33"/>
      <c r="B56" s="33"/>
      <c r="C56" s="33"/>
      <c r="D56" s="33"/>
    </row>
    <row r="57" customFormat="false" ht="15" hidden="false" customHeight="true" outlineLevel="0" collapsed="false">
      <c r="A57" s="33"/>
      <c r="B57" s="33"/>
      <c r="C57" s="33"/>
      <c r="D57" s="33"/>
    </row>
    <row r="59" customFormat="false" ht="15" hidden="false" customHeight="true" outlineLevel="0" collapsed="false">
      <c r="A59" s="32" t="s">
        <v>159</v>
      </c>
      <c r="B59" s="32"/>
      <c r="C59" s="32"/>
      <c r="D59" s="32"/>
    </row>
    <row r="60" customFormat="false" ht="15" hidden="false" customHeight="true" outlineLevel="0" collapsed="false">
      <c r="A60" s="33"/>
      <c r="B60" s="33"/>
      <c r="C60" s="33"/>
      <c r="D60" s="33"/>
    </row>
    <row r="61" customFormat="false" ht="15" hidden="false" customHeight="true" outlineLevel="0" collapsed="false">
      <c r="A61" s="33"/>
      <c r="B61" s="33"/>
      <c r="C61" s="33"/>
      <c r="D61" s="33"/>
    </row>
    <row r="62" customFormat="false" ht="15" hidden="false" customHeight="true" outlineLevel="0" collapsed="false">
      <c r="A62" s="33"/>
      <c r="B62" s="33"/>
      <c r="C62" s="33"/>
      <c r="D62" s="33"/>
    </row>
    <row r="63" customFormat="false" ht="15" hidden="false" customHeight="true" outlineLevel="0" collapsed="false">
      <c r="A63" s="33"/>
      <c r="B63" s="33"/>
      <c r="C63" s="33"/>
      <c r="D63" s="33"/>
    </row>
    <row r="65" customFormat="false" ht="15" hidden="false" customHeight="true" outlineLevel="0" collapsed="false">
      <c r="A65" s="32" t="s">
        <v>160</v>
      </c>
      <c r="B65" s="32"/>
      <c r="C65" s="32"/>
      <c r="D65" s="32"/>
    </row>
    <row r="66" customFormat="false" ht="15" hidden="false" customHeight="true" outlineLevel="0" collapsed="false">
      <c r="A66" s="33"/>
      <c r="B66" s="33"/>
      <c r="C66" s="33"/>
      <c r="D66" s="33"/>
    </row>
    <row r="67" customFormat="false" ht="15" hidden="false" customHeight="true" outlineLevel="0" collapsed="false">
      <c r="A67" s="33"/>
      <c r="B67" s="33"/>
      <c r="C67" s="33"/>
      <c r="D67" s="33"/>
    </row>
    <row r="68" customFormat="false" ht="15" hidden="false" customHeight="true" outlineLevel="0" collapsed="false">
      <c r="A68" s="33"/>
      <c r="B68" s="33"/>
      <c r="C68" s="33"/>
      <c r="D68" s="33"/>
    </row>
    <row r="69" customFormat="false" ht="15" hidden="false" customHeight="true" outlineLevel="0" collapsed="false">
      <c r="A69" s="33"/>
      <c r="B69" s="33"/>
      <c r="C69" s="33"/>
      <c r="D69" s="33"/>
    </row>
  </sheetData>
  <mergeCells count="10">
    <mergeCell ref="A3:D3"/>
    <mergeCell ref="A10:D10"/>
    <mergeCell ref="A17:D17"/>
    <mergeCell ref="A24:D24"/>
    <mergeCell ref="A35:D35"/>
    <mergeCell ref="A41:D41"/>
    <mergeCell ref="A47:D47"/>
    <mergeCell ref="A53:D53"/>
    <mergeCell ref="A59:D59"/>
    <mergeCell ref="A65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  <col collapsed="false" customWidth="true" hidden="false" outlineLevel="0" max="19" min="6" style="1" width="18"/>
  </cols>
  <sheetData>
    <row r="1" customFormat="false" ht="15.75" hidden="false" customHeight="true" outlineLevel="0" collapsed="false">
      <c r="A1" s="2" t="s">
        <v>161</v>
      </c>
      <c r="B1" s="2"/>
      <c r="C1" s="2"/>
      <c r="D1" s="2"/>
      <c r="E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</row>
    <row r="4" customFormat="false" ht="18" hidden="false" customHeight="true" outlineLevel="0" collapsed="false">
      <c r="A4" s="9" t="s">
        <v>162</v>
      </c>
      <c r="B4" s="9" t="s">
        <v>163</v>
      </c>
      <c r="C4" s="9" t="s">
        <v>164</v>
      </c>
      <c r="D4" s="9" t="s">
        <v>165</v>
      </c>
      <c r="E4" s="9" t="s">
        <v>166</v>
      </c>
    </row>
    <row r="5" customFormat="false" ht="15" hidden="false" customHeight="true" outlineLevel="0" collapsed="false">
      <c r="A5" s="10" t="s">
        <v>167</v>
      </c>
      <c r="B5" s="34" t="s">
        <v>168</v>
      </c>
      <c r="C5" s="35" t="s">
        <v>169</v>
      </c>
      <c r="D5" s="36" t="s">
        <v>170</v>
      </c>
      <c r="E5" s="37"/>
    </row>
    <row r="6" customFormat="false" ht="15" hidden="false" customHeight="true" outlineLevel="0" collapsed="false">
      <c r="A6" s="10" t="s">
        <v>171</v>
      </c>
      <c r="B6" s="34" t="s">
        <v>170</v>
      </c>
      <c r="C6" s="35" t="s">
        <v>172</v>
      </c>
      <c r="D6" s="36" t="s">
        <v>173</v>
      </c>
      <c r="E6" s="37"/>
    </row>
    <row r="7" customFormat="false" ht="15" hidden="false" customHeight="true" outlineLevel="0" collapsed="false">
      <c r="A7" s="10" t="s">
        <v>174</v>
      </c>
      <c r="B7" s="34" t="s">
        <v>175</v>
      </c>
      <c r="C7" s="35" t="s">
        <v>176</v>
      </c>
      <c r="D7" s="36" t="s">
        <v>177</v>
      </c>
      <c r="E7" s="37"/>
    </row>
    <row r="8" customFormat="false" ht="15" hidden="false" customHeight="true" outlineLevel="0" collapsed="false">
      <c r="A8" s="10" t="s">
        <v>178</v>
      </c>
      <c r="B8" s="34" t="s">
        <v>177</v>
      </c>
      <c r="C8" s="35" t="s">
        <v>173</v>
      </c>
      <c r="D8" s="36" t="s">
        <v>179</v>
      </c>
      <c r="E8" s="37"/>
    </row>
    <row r="9" customFormat="false" ht="15" hidden="false" customHeight="true" outlineLevel="0" collapsed="false">
      <c r="A9" s="10" t="s">
        <v>180</v>
      </c>
      <c r="B9" s="34" t="s">
        <v>181</v>
      </c>
      <c r="C9" s="35" t="s">
        <v>181</v>
      </c>
      <c r="D9" s="36" t="s">
        <v>181</v>
      </c>
      <c r="E9" s="37"/>
    </row>
    <row r="10" customFormat="false" ht="15" hidden="false" customHeight="true" outlineLevel="0" collapsed="false">
      <c r="A10" s="10" t="s">
        <v>182</v>
      </c>
      <c r="B10" s="34" t="s">
        <v>183</v>
      </c>
      <c r="C10" s="35" t="s">
        <v>183</v>
      </c>
      <c r="D10" s="36" t="s">
        <v>183</v>
      </c>
      <c r="E10" s="37"/>
    </row>
    <row r="11" customFormat="false" ht="15" hidden="false" customHeight="true" outlineLevel="0" collapsed="false">
      <c r="A11" s="10" t="s">
        <v>184</v>
      </c>
      <c r="B11" s="34" t="s">
        <v>185</v>
      </c>
      <c r="C11" s="35" t="s">
        <v>185</v>
      </c>
      <c r="D11" s="36" t="s">
        <v>185</v>
      </c>
      <c r="E11" s="37"/>
    </row>
    <row r="13" customFormat="false" ht="15.75" hidden="false" customHeight="true" outlineLevel="0" collapsed="false">
      <c r="A13" s="3" t="s">
        <v>186</v>
      </c>
      <c r="B13" s="3"/>
      <c r="C13" s="3"/>
      <c r="D13" s="3"/>
      <c r="E13" s="3"/>
    </row>
    <row r="14" customFormat="false" ht="18" hidden="false" customHeight="true" outlineLevel="0" collapsed="false">
      <c r="A14" s="9" t="s">
        <v>140</v>
      </c>
      <c r="B14" s="9" t="s">
        <v>163</v>
      </c>
      <c r="C14" s="9" t="s">
        <v>164</v>
      </c>
      <c r="D14" s="9" t="s">
        <v>165</v>
      </c>
      <c r="E14" s="9" t="s">
        <v>166</v>
      </c>
    </row>
    <row r="15" customFormat="false" ht="15" hidden="false" customHeight="true" outlineLevel="0" collapsed="false">
      <c r="A15" s="10" t="s">
        <v>187</v>
      </c>
      <c r="B15" s="18" t="n">
        <v>1250000</v>
      </c>
      <c r="C15" s="18" t="n">
        <v>1250000</v>
      </c>
      <c r="D15" s="18" t="n">
        <v>1250000</v>
      </c>
      <c r="E15" s="38"/>
    </row>
    <row r="16" customFormat="false" ht="15" hidden="false" customHeight="true" outlineLevel="0" collapsed="false">
      <c r="A16" s="10" t="s">
        <v>188</v>
      </c>
      <c r="B16" s="18" t="n">
        <f aca="false">1250000*(1-0.02)</f>
        <v>1225000</v>
      </c>
      <c r="C16" s="18" t="n">
        <f aca="false">1250000*(1+0.05)</f>
        <v>1312500</v>
      </c>
      <c r="D16" s="18" t="n">
        <f aca="false">1250000*(1+0.1)</f>
        <v>1375000</v>
      </c>
      <c r="E16" s="38"/>
    </row>
    <row r="17" customFormat="false" ht="15" hidden="false" customHeight="true" outlineLevel="0" collapsed="false">
      <c r="A17" s="10" t="s">
        <v>189</v>
      </c>
      <c r="B17" s="18" t="n">
        <v>620000</v>
      </c>
      <c r="C17" s="18" t="n">
        <v>620000</v>
      </c>
      <c r="D17" s="18" t="n">
        <v>620000</v>
      </c>
      <c r="E17" s="38"/>
    </row>
    <row r="18" customFormat="false" ht="15" hidden="false" customHeight="true" outlineLevel="0" collapsed="false">
      <c r="A18" s="10" t="s">
        <v>190</v>
      </c>
      <c r="B18" s="18" t="n">
        <f aca="false">620000*(1+0.1)</f>
        <v>682000</v>
      </c>
      <c r="C18" s="18" t="n">
        <f aca="false">620000*(1+0.06)</f>
        <v>657200</v>
      </c>
      <c r="D18" s="18" t="n">
        <f aca="false">620000*(1+0.03)</f>
        <v>638600</v>
      </c>
      <c r="E18" s="38"/>
    </row>
    <row r="19" customFormat="false" ht="15" hidden="false" customHeight="true" outlineLevel="0" collapsed="false">
      <c r="A19" s="17" t="s">
        <v>191</v>
      </c>
      <c r="B19" s="39" t="n">
        <f aca="false">(B16-B18)/B16</f>
        <v>0.443265306122449</v>
      </c>
      <c r="C19" s="39" t="n">
        <f aca="false">(C16-C18)/C16</f>
        <v>0.499276190476191</v>
      </c>
      <c r="D19" s="39" t="n">
        <f aca="false">(D16-D18)/D16</f>
        <v>0.535563636363636</v>
      </c>
      <c r="E19" s="38"/>
    </row>
    <row r="20" customFormat="false" ht="15" hidden="false" customHeight="true" outlineLevel="0" collapsed="false">
      <c r="A20" s="17" t="s">
        <v>192</v>
      </c>
      <c r="B20" s="39" t="n">
        <f aca="false">250000/B19</f>
        <v>563996.316758748</v>
      </c>
      <c r="C20" s="39" t="n">
        <f aca="false">250000/C19</f>
        <v>500724.858843278</v>
      </c>
      <c r="D20" s="39" t="n">
        <f aca="false">250000/D19</f>
        <v>466797.9359044</v>
      </c>
      <c r="E20" s="38"/>
    </row>
    <row r="21" customFormat="false" ht="15" hidden="false" customHeight="true" outlineLevel="0" collapsed="false">
      <c r="A21" s="10" t="s">
        <v>193</v>
      </c>
      <c r="B21" s="18" t="n">
        <f aca="false">B16-B20</f>
        <v>661003.683241252</v>
      </c>
      <c r="C21" s="18" t="n">
        <f aca="false">C16-C20</f>
        <v>811775.141156722</v>
      </c>
      <c r="D21" s="18" t="n">
        <f aca="false">D16-D20</f>
        <v>908202.0640956</v>
      </c>
      <c r="E21" s="38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5" min="2" style="1" width="10"/>
    <col collapsed="false" customWidth="true" hidden="false" outlineLevel="0" max="19" min="16" style="1" width="18"/>
  </cols>
  <sheetData>
    <row r="1" customFormat="false" ht="15.75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.75" hidden="false" customHeight="true" outlineLevel="0" collapsed="false">
      <c r="A3" s="6" t="s">
        <v>195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8" hidden="false" customHeight="true" outlineLevel="0" collapsed="false">
      <c r="A4" s="9" t="s">
        <v>196</v>
      </c>
      <c r="B4" s="9" t="s">
        <v>197</v>
      </c>
      <c r="C4" s="9" t="s">
        <v>198</v>
      </c>
      <c r="D4" s="9" t="s">
        <v>199</v>
      </c>
      <c r="E4" s="9" t="s">
        <v>200</v>
      </c>
    </row>
    <row r="5" customFormat="false" ht="23.25" hidden="false" customHeight="true" outlineLevel="0" collapsed="false">
      <c r="A5" s="10" t="s">
        <v>201</v>
      </c>
      <c r="B5" s="40" t="n">
        <v>580</v>
      </c>
      <c r="C5" s="40" t="n">
        <v>815</v>
      </c>
      <c r="D5" s="41" t="n">
        <f aca="false">B5*C5</f>
        <v>472700</v>
      </c>
      <c r="E5" s="42" t="s">
        <v>202</v>
      </c>
    </row>
    <row r="6" customFormat="false" ht="23.25" hidden="false" customHeight="true" outlineLevel="0" collapsed="false">
      <c r="A6" s="10" t="s">
        <v>203</v>
      </c>
      <c r="B6" s="40" t="n">
        <v>420</v>
      </c>
      <c r="C6" s="40" t="n">
        <v>743</v>
      </c>
      <c r="D6" s="41" t="n">
        <f aca="false">B6*C6</f>
        <v>312060</v>
      </c>
      <c r="E6" s="42" t="s">
        <v>204</v>
      </c>
    </row>
    <row r="7" customFormat="false" ht="23.25" hidden="false" customHeight="true" outlineLevel="0" collapsed="false">
      <c r="A7" s="10" t="s">
        <v>205</v>
      </c>
      <c r="B7" s="40" t="n">
        <v>890</v>
      </c>
      <c r="C7" s="40" t="n">
        <v>348</v>
      </c>
      <c r="D7" s="41" t="n">
        <f aca="false">B7*C7</f>
        <v>309720</v>
      </c>
      <c r="E7" s="42" t="s">
        <v>206</v>
      </c>
    </row>
    <row r="8" customFormat="false" ht="23.25" hidden="false" customHeight="true" outlineLevel="0" collapsed="false">
      <c r="A8" s="17" t="s">
        <v>207</v>
      </c>
      <c r="B8" s="43"/>
      <c r="C8" s="43" t="n">
        <f aca="false">C5+C6+C7</f>
        <v>1906</v>
      </c>
      <c r="D8" s="13" t="n">
        <f aca="false">D5+D6+D7</f>
        <v>1094480</v>
      </c>
      <c r="E8" s="44" t="s">
        <v>208</v>
      </c>
    </row>
    <row r="10" customFormat="false" ht="15.75" hidden="false" customHeight="true" outlineLevel="0" collapsed="false">
      <c r="A10" s="45" t="s">
        <v>209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customFormat="false" ht="18" hidden="false" customHeight="true" outlineLevel="0" collapsed="false">
      <c r="A11" s="9" t="s">
        <v>140</v>
      </c>
      <c r="B11" s="9" t="s">
        <v>210</v>
      </c>
      <c r="C11" s="9" t="s">
        <v>211</v>
      </c>
      <c r="D11" s="9" t="s">
        <v>212</v>
      </c>
      <c r="E11" s="9" t="s">
        <v>213</v>
      </c>
      <c r="F11" s="9" t="s">
        <v>214</v>
      </c>
      <c r="G11" s="9" t="s">
        <v>215</v>
      </c>
      <c r="H11" s="9" t="s">
        <v>216</v>
      </c>
      <c r="I11" s="9" t="s">
        <v>217</v>
      </c>
      <c r="J11" s="9" t="s">
        <v>218</v>
      </c>
      <c r="K11" s="9" t="s">
        <v>219</v>
      </c>
      <c r="L11" s="9" t="s">
        <v>220</v>
      </c>
      <c r="M11" s="9" t="s">
        <v>221</v>
      </c>
      <c r="N11" s="9" t="s">
        <v>207</v>
      </c>
    </row>
    <row r="12" customFormat="false" ht="15" hidden="false" customHeight="true" outlineLevel="0" collapsed="false">
      <c r="A12" s="10" t="s">
        <v>222</v>
      </c>
      <c r="B12" s="46" t="n">
        <v>27</v>
      </c>
      <c r="C12" s="46" t="n">
        <v>27</v>
      </c>
      <c r="D12" s="46" t="n">
        <v>31</v>
      </c>
      <c r="E12" s="46" t="n">
        <v>39</v>
      </c>
      <c r="F12" s="46" t="n">
        <v>39</v>
      </c>
      <c r="G12" s="46" t="n">
        <v>39</v>
      </c>
      <c r="H12" s="46" t="n">
        <v>23</v>
      </c>
      <c r="I12" s="46" t="n">
        <v>27</v>
      </c>
      <c r="J12" s="46" t="n">
        <v>27</v>
      </c>
      <c r="K12" s="46" t="n">
        <v>35</v>
      </c>
      <c r="L12" s="46" t="n">
        <v>35</v>
      </c>
      <c r="M12" s="46" t="n">
        <v>39</v>
      </c>
      <c r="N12" s="43" t="n">
        <f aca="false">SUM(B12:M12)</f>
        <v>388</v>
      </c>
    </row>
    <row r="13" customFormat="false" ht="15" hidden="false" customHeight="true" outlineLevel="0" collapsed="false">
      <c r="A13" s="10" t="s">
        <v>223</v>
      </c>
      <c r="B13" s="47" t="n">
        <v>580</v>
      </c>
      <c r="C13" s="47" t="n">
        <v>580</v>
      </c>
      <c r="D13" s="47" t="n">
        <v>580</v>
      </c>
      <c r="E13" s="47" t="n">
        <v>580</v>
      </c>
      <c r="F13" s="47" t="n">
        <v>580</v>
      </c>
      <c r="G13" s="47" t="n">
        <v>580</v>
      </c>
      <c r="H13" s="47" t="n">
        <v>580</v>
      </c>
      <c r="I13" s="47" t="n">
        <v>580</v>
      </c>
      <c r="J13" s="47" t="n">
        <v>580</v>
      </c>
      <c r="K13" s="47" t="n">
        <v>580</v>
      </c>
      <c r="L13" s="47" t="n">
        <v>580</v>
      </c>
      <c r="M13" s="47" t="n">
        <v>580</v>
      </c>
      <c r="N13" s="47" t="n">
        <v>580</v>
      </c>
    </row>
    <row r="14" customFormat="false" ht="15" hidden="false" customHeight="true" outlineLevel="0" collapsed="false">
      <c r="A14" s="17" t="s">
        <v>224</v>
      </c>
      <c r="B14" s="18" t="n">
        <f aca="false">B12*B13</f>
        <v>15660</v>
      </c>
      <c r="C14" s="18" t="n">
        <f aca="false">C12*C13</f>
        <v>15660</v>
      </c>
      <c r="D14" s="18" t="n">
        <f aca="false">D12*D13</f>
        <v>17980</v>
      </c>
      <c r="E14" s="18" t="n">
        <f aca="false">E12*E13</f>
        <v>22620</v>
      </c>
      <c r="F14" s="18" t="n">
        <f aca="false">F12*F13</f>
        <v>22620</v>
      </c>
      <c r="G14" s="18" t="n">
        <f aca="false">G12*G13</f>
        <v>22620</v>
      </c>
      <c r="H14" s="18" t="n">
        <f aca="false">H12*H13</f>
        <v>13340</v>
      </c>
      <c r="I14" s="18" t="n">
        <f aca="false">I12*I13</f>
        <v>15660</v>
      </c>
      <c r="J14" s="18" t="n">
        <f aca="false">J12*J13</f>
        <v>15660</v>
      </c>
      <c r="K14" s="18" t="n">
        <f aca="false">K12*K13</f>
        <v>20300</v>
      </c>
      <c r="L14" s="18" t="n">
        <f aca="false">L12*L13</f>
        <v>20300</v>
      </c>
      <c r="M14" s="18" t="n">
        <f aca="false">M12*M13</f>
        <v>22620</v>
      </c>
      <c r="N14" s="18" t="n">
        <f aca="false">N12*N13</f>
        <v>225040</v>
      </c>
    </row>
    <row r="15" customFormat="false" ht="15" hidden="false" customHeight="true" outlineLevel="0" collapsed="false">
      <c r="A15" s="10" t="s">
        <v>225</v>
      </c>
      <c r="B15" s="46" t="n">
        <v>43</v>
      </c>
      <c r="C15" s="46" t="n">
        <v>43</v>
      </c>
      <c r="D15" s="46" t="n">
        <v>50</v>
      </c>
      <c r="E15" s="46" t="n">
        <v>63</v>
      </c>
      <c r="F15" s="46" t="n">
        <v>63</v>
      </c>
      <c r="G15" s="46" t="n">
        <v>63</v>
      </c>
      <c r="H15" s="46" t="n">
        <v>36</v>
      </c>
      <c r="I15" s="46" t="n">
        <v>43</v>
      </c>
      <c r="J15" s="46" t="n">
        <v>43</v>
      </c>
      <c r="K15" s="46" t="n">
        <v>56</v>
      </c>
      <c r="L15" s="46" t="n">
        <v>56</v>
      </c>
      <c r="M15" s="46" t="n">
        <v>63</v>
      </c>
      <c r="N15" s="43" t="n">
        <f aca="false">SUM(B15:M15)</f>
        <v>622</v>
      </c>
    </row>
    <row r="16" customFormat="false" ht="15" hidden="false" customHeight="true" outlineLevel="0" collapsed="false">
      <c r="A16" s="10" t="s">
        <v>226</v>
      </c>
      <c r="B16" s="47" t="n">
        <v>420</v>
      </c>
      <c r="C16" s="47" t="n">
        <v>420</v>
      </c>
      <c r="D16" s="47" t="n">
        <v>420</v>
      </c>
      <c r="E16" s="47" t="n">
        <v>420</v>
      </c>
      <c r="F16" s="47" t="n">
        <v>420</v>
      </c>
      <c r="G16" s="47" t="n">
        <v>420</v>
      </c>
      <c r="H16" s="47" t="n">
        <v>420</v>
      </c>
      <c r="I16" s="47" t="n">
        <v>420</v>
      </c>
      <c r="J16" s="47" t="n">
        <v>420</v>
      </c>
      <c r="K16" s="47" t="n">
        <v>420</v>
      </c>
      <c r="L16" s="47" t="n">
        <v>420</v>
      </c>
      <c r="M16" s="47" t="n">
        <v>420</v>
      </c>
      <c r="N16" s="47" t="n">
        <v>420</v>
      </c>
    </row>
    <row r="17" customFormat="false" ht="15" hidden="false" customHeight="true" outlineLevel="0" collapsed="false">
      <c r="A17" s="17" t="s">
        <v>227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customFormat="false" ht="15" hidden="false" customHeight="true" outlineLevel="0" collapsed="false">
      <c r="A18" s="10" t="s">
        <v>228</v>
      </c>
      <c r="B18" s="46" t="n">
        <v>12</v>
      </c>
      <c r="C18" s="46" t="n">
        <v>12</v>
      </c>
      <c r="D18" s="46" t="n">
        <v>13</v>
      </c>
      <c r="E18" s="46" t="n">
        <v>17</v>
      </c>
      <c r="F18" s="46" t="n">
        <v>17</v>
      </c>
      <c r="G18" s="46" t="n">
        <v>17</v>
      </c>
      <c r="H18" s="46" t="n">
        <v>10</v>
      </c>
      <c r="I18" s="46" t="n">
        <v>12</v>
      </c>
      <c r="J18" s="46" t="n">
        <v>12</v>
      </c>
      <c r="K18" s="46" t="n">
        <v>15</v>
      </c>
      <c r="L18" s="46" t="n">
        <v>15</v>
      </c>
      <c r="M18" s="46" t="n">
        <v>17</v>
      </c>
      <c r="N18" s="43" t="n">
        <f aca="false">SUM(B18:M18)</f>
        <v>169</v>
      </c>
    </row>
    <row r="19" customFormat="false" ht="15" hidden="false" customHeight="true" outlineLevel="0" collapsed="false">
      <c r="A19" s="10" t="s">
        <v>229</v>
      </c>
      <c r="B19" s="47" t="n">
        <v>890</v>
      </c>
      <c r="C19" s="47" t="n">
        <v>890</v>
      </c>
      <c r="D19" s="47" t="n">
        <v>890</v>
      </c>
      <c r="E19" s="47" t="n">
        <v>890</v>
      </c>
      <c r="F19" s="47" t="n">
        <v>890</v>
      </c>
      <c r="G19" s="47" t="n">
        <v>890</v>
      </c>
      <c r="H19" s="47" t="n">
        <v>890</v>
      </c>
      <c r="I19" s="47" t="n">
        <v>890</v>
      </c>
      <c r="J19" s="47" t="n">
        <v>890</v>
      </c>
      <c r="K19" s="47" t="n">
        <v>890</v>
      </c>
      <c r="L19" s="47" t="n">
        <v>890</v>
      </c>
      <c r="M19" s="47" t="n">
        <v>890</v>
      </c>
      <c r="N19" s="47" t="n">
        <v>890</v>
      </c>
    </row>
    <row r="20" customFormat="false" ht="15" hidden="false" customHeight="true" outlineLevel="0" collapsed="false">
      <c r="A20" s="17" t="s">
        <v>230</v>
      </c>
      <c r="B20" s="18" t="n">
        <f aca="false">B18*B19</f>
        <v>10680</v>
      </c>
      <c r="C20" s="18" t="n">
        <f aca="false">C18*C19</f>
        <v>10680</v>
      </c>
      <c r="D20" s="18" t="n">
        <f aca="false">D18*D19</f>
        <v>11570</v>
      </c>
      <c r="E20" s="18" t="n">
        <f aca="false">E18*E19</f>
        <v>15130</v>
      </c>
      <c r="F20" s="18" t="n">
        <f aca="false">F18*F19</f>
        <v>15130</v>
      </c>
      <c r="G20" s="18" t="n">
        <f aca="false">G18*G19</f>
        <v>15130</v>
      </c>
      <c r="H20" s="18" t="n">
        <f aca="false">H18*H19</f>
        <v>8900</v>
      </c>
      <c r="I20" s="18" t="n">
        <f aca="false">I18*I19</f>
        <v>10680</v>
      </c>
      <c r="J20" s="18" t="n">
        <f aca="false">J18*J19</f>
        <v>10680</v>
      </c>
      <c r="K20" s="18" t="n">
        <f aca="false">K18*K19</f>
        <v>13350</v>
      </c>
      <c r="L20" s="18" t="n">
        <f aca="false">L18*L19</f>
        <v>13350</v>
      </c>
      <c r="M20" s="18" t="n">
        <f aca="false">M18*M19</f>
        <v>15130</v>
      </c>
      <c r="N20" s="18" t="n">
        <f aca="false">N18*N19</f>
        <v>150410</v>
      </c>
    </row>
    <row r="21" customFormat="false" ht="15.75" hidden="false" customHeight="true" outlineLevel="0" collapsed="false">
      <c r="A21" s="17" t="s">
        <v>231</v>
      </c>
      <c r="B21" s="13" t="n">
        <f aca="false">B12+B15+B18</f>
        <v>82</v>
      </c>
      <c r="C21" s="13" t="n">
        <f aca="false">C12+C15+C18</f>
        <v>82</v>
      </c>
      <c r="D21" s="13" t="n">
        <f aca="false">D12+D15+D18</f>
        <v>94</v>
      </c>
      <c r="E21" s="13" t="n">
        <f aca="false">E12+E15+E18</f>
        <v>119</v>
      </c>
      <c r="F21" s="13" t="n">
        <f aca="false">F12+F15+F18</f>
        <v>119</v>
      </c>
      <c r="G21" s="13" t="n">
        <f aca="false">G12+G15+G18</f>
        <v>119</v>
      </c>
      <c r="H21" s="13" t="n">
        <f aca="false">H12+H15+H18</f>
        <v>69</v>
      </c>
      <c r="I21" s="13" t="n">
        <f aca="false">I12+I15+I18</f>
        <v>82</v>
      </c>
      <c r="J21" s="13" t="n">
        <f aca="false">J12+J15+J18</f>
        <v>82</v>
      </c>
      <c r="K21" s="13" t="n">
        <f aca="false">K12+K15+K18</f>
        <v>106</v>
      </c>
      <c r="L21" s="13" t="n">
        <f aca="false">L12+L15+L18</f>
        <v>106</v>
      </c>
      <c r="M21" s="13" t="n">
        <f aca="false">M12+M15+M18</f>
        <v>119</v>
      </c>
      <c r="N21" s="13" t="n">
        <f aca="false">N12+N15+N18</f>
        <v>1179</v>
      </c>
    </row>
    <row r="23" customFormat="false" ht="15.75" hidden="false" customHeight="true" outlineLevel="0" collapsed="false">
      <c r="A23" s="48" t="s">
        <v>232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customFormat="false" ht="18" hidden="false" customHeight="true" outlineLevel="0" collapsed="false">
      <c r="A24" s="9" t="s">
        <v>140</v>
      </c>
      <c r="B24" s="9" t="s">
        <v>210</v>
      </c>
      <c r="C24" s="9" t="s">
        <v>211</v>
      </c>
      <c r="D24" s="9" t="s">
        <v>212</v>
      </c>
      <c r="E24" s="9" t="s">
        <v>213</v>
      </c>
      <c r="F24" s="9" t="s">
        <v>214</v>
      </c>
      <c r="G24" s="9" t="s">
        <v>215</v>
      </c>
      <c r="H24" s="9" t="s">
        <v>216</v>
      </c>
      <c r="I24" s="9" t="s">
        <v>217</v>
      </c>
      <c r="J24" s="9" t="s">
        <v>218</v>
      </c>
      <c r="K24" s="9" t="s">
        <v>219</v>
      </c>
      <c r="L24" s="9" t="s">
        <v>220</v>
      </c>
      <c r="M24" s="9" t="s">
        <v>221</v>
      </c>
      <c r="N24" s="9" t="s">
        <v>207</v>
      </c>
    </row>
    <row r="25" customFormat="false" ht="15" hidden="false" customHeight="true" outlineLevel="0" collapsed="false">
      <c r="A25" s="10" t="s">
        <v>222</v>
      </c>
      <c r="B25" s="49" t="n">
        <v>27</v>
      </c>
      <c r="C25" s="49" t="n">
        <v>27</v>
      </c>
      <c r="D25" s="49" t="n">
        <v>31</v>
      </c>
      <c r="E25" s="49" t="n">
        <v>40</v>
      </c>
      <c r="F25" s="49" t="n">
        <v>40</v>
      </c>
      <c r="G25" s="49" t="n">
        <v>40</v>
      </c>
      <c r="H25" s="49" t="n">
        <v>23</v>
      </c>
      <c r="I25" s="49" t="n">
        <v>27</v>
      </c>
      <c r="J25" s="49" t="n">
        <v>27</v>
      </c>
      <c r="K25" s="49" t="n">
        <v>36</v>
      </c>
      <c r="L25" s="49" t="n">
        <v>36</v>
      </c>
      <c r="M25" s="49" t="n">
        <v>40</v>
      </c>
      <c r="N25" s="43" t="n">
        <f aca="false">SUM(B25:M25)</f>
        <v>394</v>
      </c>
    </row>
    <row r="26" customFormat="false" ht="15" hidden="false" customHeight="true" outlineLevel="0" collapsed="false">
      <c r="A26" s="10" t="s">
        <v>223</v>
      </c>
      <c r="B26" s="47" t="n">
        <v>580</v>
      </c>
      <c r="C26" s="47" t="n">
        <v>580</v>
      </c>
      <c r="D26" s="47" t="n">
        <v>580</v>
      </c>
      <c r="E26" s="47" t="n">
        <v>580</v>
      </c>
      <c r="F26" s="47" t="n">
        <v>580</v>
      </c>
      <c r="G26" s="47" t="n">
        <v>580</v>
      </c>
      <c r="H26" s="47" t="n">
        <v>580</v>
      </c>
      <c r="I26" s="47" t="n">
        <v>580</v>
      </c>
      <c r="J26" s="47" t="n">
        <v>580</v>
      </c>
      <c r="K26" s="47" t="n">
        <v>580</v>
      </c>
      <c r="L26" s="47" t="n">
        <v>580</v>
      </c>
      <c r="M26" s="47" t="n">
        <v>580</v>
      </c>
      <c r="N26" s="47" t="n">
        <v>580</v>
      </c>
    </row>
    <row r="27" customFormat="false" ht="15" hidden="false" customHeight="true" outlineLevel="0" collapsed="false">
      <c r="A27" s="17" t="s">
        <v>224</v>
      </c>
      <c r="B27" s="18" t="n">
        <f aca="false">B25*B26</f>
        <v>15660</v>
      </c>
      <c r="C27" s="18" t="n">
        <f aca="false">C25*C26</f>
        <v>15660</v>
      </c>
      <c r="D27" s="18" t="n">
        <f aca="false">D25*D26</f>
        <v>17980</v>
      </c>
      <c r="E27" s="18" t="n">
        <f aca="false">E25*E26</f>
        <v>23200</v>
      </c>
      <c r="F27" s="18" t="n">
        <f aca="false">F25*F26</f>
        <v>23200</v>
      </c>
      <c r="G27" s="18" t="n">
        <f aca="false">G25*G26</f>
        <v>23200</v>
      </c>
      <c r="H27" s="18" t="n">
        <f aca="false">H25*H26</f>
        <v>13340</v>
      </c>
      <c r="I27" s="18" t="n">
        <f aca="false">I25*I26</f>
        <v>15660</v>
      </c>
      <c r="J27" s="18" t="n">
        <f aca="false">J25*J26</f>
        <v>15660</v>
      </c>
      <c r="K27" s="18" t="n">
        <f aca="false">K25*K26</f>
        <v>20880</v>
      </c>
      <c r="L27" s="18" t="n">
        <f aca="false">L25*L26</f>
        <v>20880</v>
      </c>
      <c r="M27" s="18" t="n">
        <f aca="false">M25*M26</f>
        <v>23200</v>
      </c>
      <c r="N27" s="18" t="n">
        <f aca="false">N25*N26</f>
        <v>228520</v>
      </c>
    </row>
    <row r="28" customFormat="false" ht="15" hidden="false" customHeight="true" outlineLevel="0" collapsed="false">
      <c r="A28" s="10" t="s">
        <v>225</v>
      </c>
      <c r="B28" s="49" t="n">
        <v>44</v>
      </c>
      <c r="C28" s="49" t="n">
        <v>44</v>
      </c>
      <c r="D28" s="49" t="n">
        <v>51</v>
      </c>
      <c r="E28" s="49" t="n">
        <v>65</v>
      </c>
      <c r="F28" s="49" t="n">
        <v>65</v>
      </c>
      <c r="G28" s="49" t="n">
        <v>65</v>
      </c>
      <c r="H28" s="49" t="n">
        <v>38</v>
      </c>
      <c r="I28" s="49" t="n">
        <v>44</v>
      </c>
      <c r="J28" s="49" t="n">
        <v>44</v>
      </c>
      <c r="K28" s="49" t="n">
        <v>58</v>
      </c>
      <c r="L28" s="49" t="n">
        <v>58</v>
      </c>
      <c r="M28" s="49" t="n">
        <v>65</v>
      </c>
      <c r="N28" s="43" t="n">
        <f aca="false">SUM(B28:M28)</f>
        <v>641</v>
      </c>
    </row>
    <row r="29" customFormat="false" ht="15" hidden="false" customHeight="true" outlineLevel="0" collapsed="false">
      <c r="A29" s="10" t="s">
        <v>226</v>
      </c>
      <c r="B29" s="47" t="n">
        <v>420</v>
      </c>
      <c r="C29" s="47" t="n">
        <v>420</v>
      </c>
      <c r="D29" s="47" t="n">
        <v>420</v>
      </c>
      <c r="E29" s="47" t="n">
        <v>420</v>
      </c>
      <c r="F29" s="47" t="n">
        <v>420</v>
      </c>
      <c r="G29" s="47" t="n">
        <v>420</v>
      </c>
      <c r="H29" s="47" t="n">
        <v>420</v>
      </c>
      <c r="I29" s="47" t="n">
        <v>420</v>
      </c>
      <c r="J29" s="47" t="n">
        <v>420</v>
      </c>
      <c r="K29" s="47" t="n">
        <v>420</v>
      </c>
      <c r="L29" s="47" t="n">
        <v>420</v>
      </c>
      <c r="M29" s="47" t="n">
        <v>420</v>
      </c>
      <c r="N29" s="47" t="n">
        <v>420</v>
      </c>
    </row>
    <row r="30" customFormat="false" ht="15" hidden="false" customHeight="true" outlineLevel="0" collapsed="false">
      <c r="A30" s="17" t="s">
        <v>227</v>
      </c>
      <c r="B30" s="18" t="n">
        <f aca="false">B28*B29</f>
        <v>18480</v>
      </c>
      <c r="C30" s="18" t="n">
        <f aca="false">C28*C29</f>
        <v>18480</v>
      </c>
      <c r="D30" s="18" t="n">
        <f aca="false">D28*D29</f>
        <v>21420</v>
      </c>
      <c r="E30" s="18" t="n">
        <f aca="false">E28*E29</f>
        <v>27300</v>
      </c>
      <c r="F30" s="18" t="n">
        <f aca="false">F28*F29</f>
        <v>27300</v>
      </c>
      <c r="G30" s="18" t="n">
        <f aca="false">G28*G29</f>
        <v>27300</v>
      </c>
      <c r="H30" s="18" t="n">
        <f aca="false">H28*H29</f>
        <v>15960</v>
      </c>
      <c r="I30" s="18" t="n">
        <f aca="false">I28*I29</f>
        <v>18480</v>
      </c>
      <c r="J30" s="18" t="n">
        <f aca="false">J28*J29</f>
        <v>18480</v>
      </c>
      <c r="K30" s="18" t="n">
        <f aca="false">K28*K29</f>
        <v>24360</v>
      </c>
      <c r="L30" s="18" t="n">
        <f aca="false">L28*L29</f>
        <v>24360</v>
      </c>
      <c r="M30" s="18" t="n">
        <f aca="false">M28*M29</f>
        <v>27300</v>
      </c>
      <c r="N30" s="18" t="n">
        <f aca="false">N28*N29</f>
        <v>269220</v>
      </c>
    </row>
    <row r="31" customFormat="false" ht="15" hidden="false" customHeight="true" outlineLevel="0" collapsed="false">
      <c r="A31" s="10" t="s">
        <v>228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5" hidden="false" customHeight="true" outlineLevel="0" collapsed="false">
      <c r="A32" s="10" t="s">
        <v>229</v>
      </c>
      <c r="B32" s="47" t="n">
        <v>890</v>
      </c>
      <c r="C32" s="47" t="n">
        <v>890</v>
      </c>
      <c r="D32" s="47" t="n">
        <v>890</v>
      </c>
      <c r="E32" s="47" t="n">
        <v>890</v>
      </c>
      <c r="F32" s="47" t="n">
        <v>890</v>
      </c>
      <c r="G32" s="47" t="n">
        <v>890</v>
      </c>
      <c r="H32" s="47" t="n">
        <v>890</v>
      </c>
      <c r="I32" s="47" t="n">
        <v>890</v>
      </c>
      <c r="J32" s="47" t="n">
        <v>890</v>
      </c>
      <c r="K32" s="47" t="n">
        <v>890</v>
      </c>
      <c r="L32" s="47" t="n">
        <v>890</v>
      </c>
      <c r="M32" s="47" t="n">
        <v>890</v>
      </c>
      <c r="N32" s="47" t="n">
        <v>890</v>
      </c>
    </row>
    <row r="33" customFormat="false" ht="15" hidden="false" customHeight="true" outlineLevel="0" collapsed="false">
      <c r="A33" s="17" t="s">
        <v>230</v>
      </c>
      <c r="B33" s="18" t="n">
        <f aca="false">B31*B32</f>
        <v>0</v>
      </c>
      <c r="C33" s="18" t="n">
        <f aca="false">C31*C32</f>
        <v>0</v>
      </c>
      <c r="D33" s="18" t="n">
        <f aca="false">D31*D32</f>
        <v>0</v>
      </c>
      <c r="E33" s="18" t="n">
        <f aca="false">E31*E32</f>
        <v>0</v>
      </c>
      <c r="F33" s="18" t="n">
        <f aca="false">F31*F32</f>
        <v>0</v>
      </c>
      <c r="G33" s="18" t="n">
        <f aca="false">G31*G32</f>
        <v>0</v>
      </c>
      <c r="H33" s="18" t="n">
        <f aca="false">H31*H32</f>
        <v>0</v>
      </c>
      <c r="I33" s="18" t="n">
        <f aca="false">I31*I32</f>
        <v>0</v>
      </c>
      <c r="J33" s="18" t="n">
        <f aca="false">J31*J32</f>
        <v>0</v>
      </c>
      <c r="K33" s="18" t="n">
        <f aca="false">K31*K32</f>
        <v>0</v>
      </c>
      <c r="L33" s="18" t="n">
        <f aca="false">L31*L32</f>
        <v>0</v>
      </c>
      <c r="M33" s="18" t="n">
        <f aca="false">M31*M32</f>
        <v>0</v>
      </c>
      <c r="N33" s="18" t="n">
        <f aca="false">N31*N32</f>
        <v>0</v>
      </c>
    </row>
    <row r="34" customFormat="false" ht="15.75" hidden="false" customHeight="true" outlineLevel="0" collapsed="false">
      <c r="A34" s="17" t="s">
        <v>231</v>
      </c>
      <c r="B34" s="13" t="n">
        <f aca="false">B25+B28+B31</f>
        <v>71</v>
      </c>
      <c r="C34" s="13" t="n">
        <f aca="false">C25+C28+C31</f>
        <v>71</v>
      </c>
      <c r="D34" s="13" t="n">
        <f aca="false">D25+D28+D31</f>
        <v>82</v>
      </c>
      <c r="E34" s="13" t="n">
        <f aca="false">E25+E28+E31</f>
        <v>105</v>
      </c>
      <c r="F34" s="13" t="n">
        <f aca="false">F25+F28+F31</f>
        <v>105</v>
      </c>
      <c r="G34" s="13" t="n">
        <f aca="false">G25+G28+G31</f>
        <v>105</v>
      </c>
      <c r="H34" s="13" t="n">
        <f aca="false">H25+H28+H31</f>
        <v>61</v>
      </c>
      <c r="I34" s="13" t="n">
        <f aca="false">I25+I28+I31</f>
        <v>71</v>
      </c>
      <c r="J34" s="13" t="n">
        <f aca="false">J25+J28+J31</f>
        <v>71</v>
      </c>
      <c r="K34" s="13" t="n">
        <f aca="false">K25+K28+K31</f>
        <v>94</v>
      </c>
      <c r="L34" s="13" t="n">
        <f aca="false">L25+L28+L31</f>
        <v>94</v>
      </c>
      <c r="M34" s="13" t="n">
        <f aca="false">M25+M28+M31</f>
        <v>105</v>
      </c>
      <c r="N34" s="13" t="n">
        <f aca="false">N25+N28+N31</f>
        <v>1035</v>
      </c>
    </row>
    <row r="36" customFormat="false" ht="15.75" hidden="false" customHeight="true" outlineLevel="0" collapsed="false">
      <c r="A36" s="50" t="s">
        <v>233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customFormat="false" ht="18" hidden="false" customHeight="true" outlineLevel="0" collapsed="false">
      <c r="A37" s="9" t="s">
        <v>140</v>
      </c>
      <c r="B37" s="9" t="s">
        <v>210</v>
      </c>
      <c r="C37" s="9" t="s">
        <v>211</v>
      </c>
      <c r="D37" s="9" t="s">
        <v>212</v>
      </c>
      <c r="E37" s="9" t="s">
        <v>213</v>
      </c>
      <c r="F37" s="9" t="s">
        <v>214</v>
      </c>
      <c r="G37" s="9" t="s">
        <v>215</v>
      </c>
      <c r="H37" s="9" t="s">
        <v>216</v>
      </c>
      <c r="I37" s="9" t="s">
        <v>217</v>
      </c>
      <c r="J37" s="9" t="s">
        <v>218</v>
      </c>
      <c r="K37" s="9" t="s">
        <v>219</v>
      </c>
      <c r="L37" s="9" t="s">
        <v>220</v>
      </c>
      <c r="M37" s="9" t="s">
        <v>221</v>
      </c>
      <c r="N37" s="9" t="s">
        <v>207</v>
      </c>
    </row>
    <row r="38" customFormat="false" ht="15" hidden="false" customHeight="true" outlineLevel="0" collapsed="false">
      <c r="A38" s="10" t="s">
        <v>222</v>
      </c>
      <c r="B38" s="51" t="n">
        <v>29</v>
      </c>
      <c r="C38" s="51" t="n">
        <v>29</v>
      </c>
      <c r="D38" s="51" t="n">
        <v>33</v>
      </c>
      <c r="E38" s="51" t="n">
        <v>42</v>
      </c>
      <c r="F38" s="51" t="n">
        <v>42</v>
      </c>
      <c r="G38" s="51" t="n">
        <v>42</v>
      </c>
      <c r="H38" s="51" t="n">
        <v>24</v>
      </c>
      <c r="I38" s="51" t="n">
        <v>29</v>
      </c>
      <c r="J38" s="51" t="n">
        <v>29</v>
      </c>
      <c r="K38" s="51" t="n">
        <v>37</v>
      </c>
      <c r="L38" s="51" t="n">
        <v>37</v>
      </c>
      <c r="M38" s="51" t="n">
        <v>42</v>
      </c>
      <c r="N38" s="43" t="n">
        <f aca="false">SUM(B38:M38)</f>
        <v>415</v>
      </c>
    </row>
    <row r="39" customFormat="false" ht="15" hidden="false" customHeight="true" outlineLevel="0" collapsed="false">
      <c r="A39" s="10" t="s">
        <v>223</v>
      </c>
      <c r="B39" s="47" t="n">
        <v>580</v>
      </c>
      <c r="C39" s="47" t="n">
        <v>580</v>
      </c>
      <c r="D39" s="47" t="n">
        <v>580</v>
      </c>
      <c r="E39" s="47" t="n">
        <v>580</v>
      </c>
      <c r="F39" s="47" t="n">
        <v>580</v>
      </c>
      <c r="G39" s="47" t="n">
        <v>580</v>
      </c>
      <c r="H39" s="47" t="n">
        <v>580</v>
      </c>
      <c r="I39" s="47" t="n">
        <v>580</v>
      </c>
      <c r="J39" s="47" t="n">
        <v>580</v>
      </c>
      <c r="K39" s="47" t="n">
        <v>580</v>
      </c>
      <c r="L39" s="47" t="n">
        <v>580</v>
      </c>
      <c r="M39" s="47" t="n">
        <v>580</v>
      </c>
      <c r="N39" s="47" t="n">
        <v>580</v>
      </c>
    </row>
    <row r="40" customFormat="false" ht="15" hidden="false" customHeight="true" outlineLevel="0" collapsed="false">
      <c r="A40" s="17" t="s">
        <v>224</v>
      </c>
      <c r="B40" s="18" t="n">
        <f aca="false">B38*B39</f>
        <v>16820</v>
      </c>
      <c r="C40" s="18" t="n">
        <f aca="false">C38*C39</f>
        <v>16820</v>
      </c>
      <c r="D40" s="18" t="n">
        <f aca="false">D38*D39</f>
        <v>19140</v>
      </c>
      <c r="E40" s="18" t="n">
        <f aca="false">E38*E39</f>
        <v>24360</v>
      </c>
      <c r="F40" s="18" t="n">
        <f aca="false">F38*F39</f>
        <v>24360</v>
      </c>
      <c r="G40" s="18" t="n">
        <f aca="false">G38*G39</f>
        <v>24360</v>
      </c>
      <c r="H40" s="18" t="n">
        <f aca="false">H38*H39</f>
        <v>13920</v>
      </c>
      <c r="I40" s="18" t="n">
        <f aca="false">I38*I39</f>
        <v>16820</v>
      </c>
      <c r="J40" s="18" t="n">
        <f aca="false">J38*J39</f>
        <v>16820</v>
      </c>
      <c r="K40" s="18" t="n">
        <f aca="false">K38*K39</f>
        <v>21460</v>
      </c>
      <c r="L40" s="18" t="n">
        <f aca="false">L38*L39</f>
        <v>21460</v>
      </c>
      <c r="M40" s="18" t="n">
        <f aca="false">M38*M39</f>
        <v>24360</v>
      </c>
      <c r="N40" s="18" t="n">
        <f aca="false">N38*N39</f>
        <v>240700</v>
      </c>
    </row>
    <row r="41" customFormat="false" ht="15" hidden="false" customHeight="true" outlineLevel="0" collapsed="false">
      <c r="A41" s="10" t="s">
        <v>225</v>
      </c>
      <c r="B41" s="51" t="n">
        <v>47</v>
      </c>
      <c r="C41" s="51" t="n">
        <v>47</v>
      </c>
      <c r="D41" s="51" t="n">
        <v>54</v>
      </c>
      <c r="E41" s="51" t="n">
        <v>68</v>
      </c>
      <c r="F41" s="51" t="n">
        <v>68</v>
      </c>
      <c r="G41" s="51" t="n">
        <v>68</v>
      </c>
      <c r="H41" s="51" t="n">
        <v>39</v>
      </c>
      <c r="I41" s="51" t="n">
        <v>47</v>
      </c>
      <c r="J41" s="51" t="n">
        <v>47</v>
      </c>
      <c r="K41" s="51" t="n">
        <v>61</v>
      </c>
      <c r="L41" s="51" t="n">
        <v>61</v>
      </c>
      <c r="M41" s="51" t="n">
        <v>68</v>
      </c>
      <c r="N41" s="43" t="n">
        <f aca="false">SUM(B41:M41)</f>
        <v>675</v>
      </c>
    </row>
    <row r="42" customFormat="false" ht="15" hidden="false" customHeight="true" outlineLevel="0" collapsed="false">
      <c r="A42" s="10" t="s">
        <v>226</v>
      </c>
      <c r="B42" s="47" t="n">
        <v>420</v>
      </c>
      <c r="C42" s="47" t="n">
        <v>420</v>
      </c>
      <c r="D42" s="47" t="n">
        <v>420</v>
      </c>
      <c r="E42" s="47" t="n">
        <v>420</v>
      </c>
      <c r="F42" s="47" t="n">
        <v>420</v>
      </c>
      <c r="G42" s="47" t="n">
        <v>420</v>
      </c>
      <c r="H42" s="47" t="n">
        <v>420</v>
      </c>
      <c r="I42" s="47" t="n">
        <v>420</v>
      </c>
      <c r="J42" s="47" t="n">
        <v>420</v>
      </c>
      <c r="K42" s="47" t="n">
        <v>420</v>
      </c>
      <c r="L42" s="47" t="n">
        <v>420</v>
      </c>
      <c r="M42" s="47" t="n">
        <v>420</v>
      </c>
      <c r="N42" s="47" t="n">
        <v>420</v>
      </c>
    </row>
    <row r="43" customFormat="false" ht="15" hidden="false" customHeight="true" outlineLevel="0" collapsed="false">
      <c r="A43" s="17" t="s">
        <v>227</v>
      </c>
      <c r="B43" s="18" t="n">
        <f aca="false">B41*B42</f>
        <v>19740</v>
      </c>
      <c r="C43" s="18" t="n">
        <f aca="false">C41*C42</f>
        <v>19740</v>
      </c>
      <c r="D43" s="18" t="n">
        <f aca="false">D41*D42</f>
        <v>22680</v>
      </c>
      <c r="E43" s="18" t="n">
        <f aca="false">E41*E42</f>
        <v>28560</v>
      </c>
      <c r="F43" s="18" t="n">
        <f aca="false">F41*F42</f>
        <v>28560</v>
      </c>
      <c r="G43" s="18" t="n">
        <f aca="false">G41*G42</f>
        <v>28560</v>
      </c>
      <c r="H43" s="18" t="n">
        <f aca="false">H41*H42</f>
        <v>16380</v>
      </c>
      <c r="I43" s="18" t="n">
        <f aca="false">I41*I42</f>
        <v>19740</v>
      </c>
      <c r="J43" s="18" t="n">
        <f aca="false">J41*J42</f>
        <v>19740</v>
      </c>
      <c r="K43" s="18" t="n">
        <f aca="false">K41*K42</f>
        <v>25620</v>
      </c>
      <c r="L43" s="18" t="n">
        <f aca="false">L41*L42</f>
        <v>25620</v>
      </c>
      <c r="M43" s="18" t="n">
        <f aca="false">M41*M42</f>
        <v>28560</v>
      </c>
      <c r="N43" s="18" t="n">
        <f aca="false">N41*N42</f>
        <v>283500</v>
      </c>
    </row>
    <row r="44" customFormat="false" ht="15" hidden="false" customHeight="true" outlineLevel="0" collapsed="false">
      <c r="A44" s="10" t="s">
        <v>228</v>
      </c>
      <c r="B44" s="51" t="n">
        <v>12</v>
      </c>
      <c r="C44" s="51" t="n">
        <v>12</v>
      </c>
      <c r="D44" s="51" t="n">
        <v>14</v>
      </c>
      <c r="E44" s="51" t="n">
        <v>18</v>
      </c>
      <c r="F44" s="51" t="n">
        <v>18</v>
      </c>
      <c r="G44" s="51" t="n">
        <v>18</v>
      </c>
      <c r="H44" s="51" t="n">
        <v>10</v>
      </c>
      <c r="I44" s="51" t="n">
        <v>12</v>
      </c>
      <c r="J44" s="51" t="n">
        <v>12</v>
      </c>
      <c r="K44" s="51" t="n">
        <v>16</v>
      </c>
      <c r="L44" s="51" t="n">
        <v>16</v>
      </c>
      <c r="M44" s="51" t="n">
        <v>18</v>
      </c>
      <c r="N44" s="43" t="n">
        <f aca="false">SUM(B44:M44)</f>
        <v>176</v>
      </c>
    </row>
    <row r="45" customFormat="false" ht="15" hidden="false" customHeight="true" outlineLevel="0" collapsed="false">
      <c r="A45" s="10" t="s">
        <v>229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customFormat="false" ht="15" hidden="false" customHeight="true" outlineLevel="0" collapsed="false">
      <c r="A46" s="17" t="s">
        <v>230</v>
      </c>
      <c r="B46" s="18" t="n">
        <f aca="false">B44*B45</f>
        <v>0</v>
      </c>
      <c r="C46" s="18" t="n">
        <f aca="false">C44*C45</f>
        <v>0</v>
      </c>
      <c r="D46" s="18" t="n">
        <f aca="false">D44*D45</f>
        <v>0</v>
      </c>
      <c r="E46" s="18" t="n">
        <f aca="false">E44*E45</f>
        <v>0</v>
      </c>
      <c r="F46" s="18" t="n">
        <f aca="false">F44*F45</f>
        <v>0</v>
      </c>
      <c r="G46" s="18" t="n">
        <f aca="false">G44*G45</f>
        <v>0</v>
      </c>
      <c r="H46" s="18" t="n">
        <f aca="false">H44*H45</f>
        <v>0</v>
      </c>
      <c r="I46" s="18" t="n">
        <f aca="false">I44*I45</f>
        <v>0</v>
      </c>
      <c r="J46" s="18" t="n">
        <f aca="false">J44*J45</f>
        <v>0</v>
      </c>
      <c r="K46" s="18" t="n">
        <f aca="false">K44*K45</f>
        <v>0</v>
      </c>
      <c r="L46" s="18" t="n">
        <f aca="false">L44*L45</f>
        <v>0</v>
      </c>
      <c r="M46" s="18" t="n">
        <f aca="false">M44*M45</f>
        <v>0</v>
      </c>
      <c r="N46" s="18" t="n">
        <f aca="false">N44*N45</f>
        <v>0</v>
      </c>
    </row>
    <row r="47" customFormat="false" ht="15.75" hidden="false" customHeight="true" outlineLevel="0" collapsed="false">
      <c r="A47" s="17" t="s">
        <v>231</v>
      </c>
      <c r="B47" s="13" t="n">
        <f aca="false">B38+B41+B44</f>
        <v>88</v>
      </c>
      <c r="C47" s="13" t="n">
        <f aca="false">C38+C41+C44</f>
        <v>88</v>
      </c>
      <c r="D47" s="13" t="n">
        <f aca="false">D38+D41+D44</f>
        <v>101</v>
      </c>
      <c r="E47" s="13" t="n">
        <f aca="false">E38+E41+E44</f>
        <v>128</v>
      </c>
      <c r="F47" s="13" t="n">
        <f aca="false">F38+F41+F44</f>
        <v>128</v>
      </c>
      <c r="G47" s="13" t="n">
        <f aca="false">G38+G41+G44</f>
        <v>128</v>
      </c>
      <c r="H47" s="13" t="n">
        <f aca="false">H38+H41+H44</f>
        <v>73</v>
      </c>
      <c r="I47" s="13" t="n">
        <f aca="false">I38+I41+I44</f>
        <v>88</v>
      </c>
      <c r="J47" s="13" t="n">
        <f aca="false">J38+J41+J44</f>
        <v>88</v>
      </c>
      <c r="K47" s="13" t="n">
        <f aca="false">K38+K41+K44</f>
        <v>114</v>
      </c>
      <c r="L47" s="13" t="n">
        <f aca="false">L38+L41+L44</f>
        <v>114</v>
      </c>
      <c r="M47" s="13" t="n">
        <f aca="false">M38+M41+M44</f>
        <v>128</v>
      </c>
      <c r="N47" s="13" t="n">
        <f aca="false">N38+N41+N44</f>
        <v>1266</v>
      </c>
    </row>
    <row r="49" customFormat="false" ht="15.75" hidden="false" customHeight="true" outlineLevel="0" collapsed="false">
      <c r="A49" s="52" t="s">
        <v>234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</row>
    <row r="50" customFormat="false" ht="18" hidden="false" customHeight="true" outlineLevel="0" collapsed="false">
      <c r="A50" s="9" t="s">
        <v>140</v>
      </c>
      <c r="B50" s="9" t="s">
        <v>210</v>
      </c>
      <c r="C50" s="9" t="s">
        <v>211</v>
      </c>
      <c r="D50" s="9" t="s">
        <v>212</v>
      </c>
      <c r="E50" s="9" t="s">
        <v>213</v>
      </c>
      <c r="F50" s="9" t="s">
        <v>214</v>
      </c>
      <c r="G50" s="9" t="s">
        <v>215</v>
      </c>
      <c r="H50" s="9" t="s">
        <v>216</v>
      </c>
      <c r="I50" s="9" t="s">
        <v>217</v>
      </c>
      <c r="J50" s="9" t="s">
        <v>218</v>
      </c>
      <c r="K50" s="9" t="s">
        <v>219</v>
      </c>
      <c r="L50" s="9" t="s">
        <v>220</v>
      </c>
      <c r="M50" s="9" t="s">
        <v>221</v>
      </c>
      <c r="N50" s="9" t="s">
        <v>207</v>
      </c>
    </row>
    <row r="51" customFormat="false" ht="15" hidden="false" customHeight="true" outlineLevel="0" collapsed="false">
      <c r="A51" s="10" t="s">
        <v>222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43" t="n">
        <f aca="false">SUM(B51:M51)</f>
        <v>0</v>
      </c>
    </row>
    <row r="52" customFormat="false" ht="15" hidden="false" customHeight="true" outlineLevel="0" collapsed="false">
      <c r="A52" s="10" t="s">
        <v>223</v>
      </c>
      <c r="B52" s="47" t="n">
        <v>580</v>
      </c>
      <c r="C52" s="47" t="n">
        <v>580</v>
      </c>
      <c r="D52" s="47" t="n">
        <v>580</v>
      </c>
      <c r="E52" s="47" t="n">
        <v>580</v>
      </c>
      <c r="F52" s="47" t="n">
        <v>580</v>
      </c>
      <c r="G52" s="47" t="n">
        <v>580</v>
      </c>
      <c r="H52" s="47" t="n">
        <v>580</v>
      </c>
      <c r="I52" s="47" t="n">
        <v>580</v>
      </c>
      <c r="J52" s="47" t="n">
        <v>580</v>
      </c>
      <c r="K52" s="47" t="n">
        <v>580</v>
      </c>
      <c r="L52" s="47" t="n">
        <v>580</v>
      </c>
      <c r="M52" s="47" t="n">
        <v>580</v>
      </c>
      <c r="N52" s="47" t="n">
        <v>580</v>
      </c>
    </row>
    <row r="53" customFormat="false" ht="15" hidden="false" customHeight="true" outlineLevel="0" collapsed="false">
      <c r="A53" s="17" t="s">
        <v>224</v>
      </c>
      <c r="B53" s="18" t="n">
        <f aca="false">B51*B52</f>
        <v>0</v>
      </c>
      <c r="C53" s="18" t="n">
        <f aca="false">C51*C52</f>
        <v>0</v>
      </c>
      <c r="D53" s="18" t="n">
        <f aca="false">D51*D52</f>
        <v>0</v>
      </c>
      <c r="E53" s="18" t="n">
        <f aca="false">E51*E52</f>
        <v>0</v>
      </c>
      <c r="F53" s="18" t="n">
        <f aca="false">F51*F52</f>
        <v>0</v>
      </c>
      <c r="G53" s="18" t="n">
        <f aca="false">G51*G52</f>
        <v>0</v>
      </c>
      <c r="H53" s="18" t="n">
        <f aca="false">H51*H52</f>
        <v>0</v>
      </c>
      <c r="I53" s="18" t="n">
        <f aca="false">I51*I52</f>
        <v>0</v>
      </c>
      <c r="J53" s="18" t="n">
        <f aca="false">J51*J52</f>
        <v>0</v>
      </c>
      <c r="K53" s="18" t="n">
        <f aca="false">K51*K52</f>
        <v>0</v>
      </c>
      <c r="L53" s="18" t="n">
        <f aca="false">L51*L52</f>
        <v>0</v>
      </c>
      <c r="M53" s="18" t="n">
        <f aca="false">M51*M52</f>
        <v>0</v>
      </c>
      <c r="N53" s="18" t="n">
        <f aca="false">N51*N52</f>
        <v>0</v>
      </c>
    </row>
    <row r="54" customFormat="false" ht="15" hidden="false" customHeight="true" outlineLevel="0" collapsed="false">
      <c r="A54" s="10" t="s">
        <v>225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43" t="n">
        <f aca="false">SUM(B54:M54)</f>
        <v>0</v>
      </c>
    </row>
    <row r="55" customFormat="false" ht="15" hidden="false" customHeight="true" outlineLevel="0" collapsed="false">
      <c r="A55" s="10" t="s">
        <v>226</v>
      </c>
      <c r="B55" s="47" t="n">
        <v>420</v>
      </c>
      <c r="C55" s="47" t="n">
        <v>420</v>
      </c>
      <c r="D55" s="47" t="n">
        <v>420</v>
      </c>
      <c r="E55" s="47" t="n">
        <v>420</v>
      </c>
      <c r="F55" s="47" t="n">
        <v>420</v>
      </c>
      <c r="G55" s="47" t="n">
        <v>420</v>
      </c>
      <c r="H55" s="47" t="n">
        <v>420</v>
      </c>
      <c r="I55" s="47" t="n">
        <v>420</v>
      </c>
      <c r="J55" s="47" t="n">
        <v>420</v>
      </c>
      <c r="K55" s="47" t="n">
        <v>420</v>
      </c>
      <c r="L55" s="47" t="n">
        <v>420</v>
      </c>
      <c r="M55" s="47" t="n">
        <v>420</v>
      </c>
      <c r="N55" s="47" t="n">
        <v>420</v>
      </c>
    </row>
    <row r="56" customFormat="false" ht="15" hidden="false" customHeight="true" outlineLevel="0" collapsed="false">
      <c r="A56" s="17" t="s">
        <v>227</v>
      </c>
      <c r="B56" s="18" t="n">
        <f aca="false">B54*B55</f>
        <v>0</v>
      </c>
      <c r="C56" s="18" t="n">
        <f aca="false">C54*C55</f>
        <v>0</v>
      </c>
      <c r="D56" s="18" t="n">
        <f aca="false">D54*D55</f>
        <v>0</v>
      </c>
      <c r="E56" s="18" t="n">
        <f aca="false">E54*E55</f>
        <v>0</v>
      </c>
      <c r="F56" s="18" t="n">
        <f aca="false">F54*F55</f>
        <v>0</v>
      </c>
      <c r="G56" s="18" t="n">
        <f aca="false">G54*G55</f>
        <v>0</v>
      </c>
      <c r="H56" s="18" t="n">
        <f aca="false">H54*H55</f>
        <v>0</v>
      </c>
      <c r="I56" s="18" t="n">
        <f aca="false">I54*I55</f>
        <v>0</v>
      </c>
      <c r="J56" s="18" t="n">
        <f aca="false">J54*J55</f>
        <v>0</v>
      </c>
      <c r="K56" s="18" t="n">
        <f aca="false">K54*K55</f>
        <v>0</v>
      </c>
      <c r="L56" s="18" t="n">
        <f aca="false">L54*L55</f>
        <v>0</v>
      </c>
      <c r="M56" s="18" t="n">
        <f aca="false">M54*M55</f>
        <v>0</v>
      </c>
      <c r="N56" s="18" t="n">
        <f aca="false">N54*N55</f>
        <v>0</v>
      </c>
    </row>
    <row r="57" customFormat="false" ht="15" hidden="false" customHeight="true" outlineLevel="0" collapsed="false">
      <c r="A57" s="10" t="s">
        <v>228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43" t="n">
        <f aca="false">SUM(B57:M57)</f>
        <v>0</v>
      </c>
    </row>
    <row r="58" customFormat="false" ht="15" hidden="false" customHeight="true" outlineLevel="0" collapsed="false">
      <c r="A58" s="10" t="s">
        <v>229</v>
      </c>
      <c r="B58" s="47" t="n">
        <v>890</v>
      </c>
      <c r="C58" s="47" t="n">
        <v>890</v>
      </c>
      <c r="D58" s="47" t="n">
        <v>890</v>
      </c>
      <c r="E58" s="47" t="n">
        <v>890</v>
      </c>
      <c r="F58" s="47" t="n">
        <v>890</v>
      </c>
      <c r="G58" s="47" t="n">
        <v>890</v>
      </c>
      <c r="H58" s="47" t="n">
        <v>890</v>
      </c>
      <c r="I58" s="47" t="n">
        <v>890</v>
      </c>
      <c r="J58" s="47" t="n">
        <v>890</v>
      </c>
      <c r="K58" s="47" t="n">
        <v>890</v>
      </c>
      <c r="L58" s="47" t="n">
        <v>890</v>
      </c>
      <c r="M58" s="47" t="n">
        <v>890</v>
      </c>
      <c r="N58" s="47" t="n">
        <v>890</v>
      </c>
    </row>
    <row r="59" customFormat="false" ht="15" hidden="false" customHeight="true" outlineLevel="0" collapsed="false">
      <c r="A59" s="17" t="s">
        <v>230</v>
      </c>
      <c r="B59" s="18" t="n">
        <f aca="false">B57*B58</f>
        <v>0</v>
      </c>
      <c r="C59" s="18" t="n">
        <f aca="false">C57*C58</f>
        <v>0</v>
      </c>
      <c r="D59" s="18" t="n">
        <f aca="false">D57*D58</f>
        <v>0</v>
      </c>
      <c r="E59" s="18" t="n">
        <f aca="false">E57*E58</f>
        <v>0</v>
      </c>
      <c r="F59" s="18" t="n">
        <f aca="false">F57*F58</f>
        <v>0</v>
      </c>
      <c r="G59" s="18" t="n">
        <f aca="false">G57*G58</f>
        <v>0</v>
      </c>
      <c r="H59" s="18" t="n">
        <f aca="false">H57*H58</f>
        <v>0</v>
      </c>
      <c r="I59" s="18" t="n">
        <f aca="false">I57*I58</f>
        <v>0</v>
      </c>
      <c r="J59" s="18" t="n">
        <f aca="false">J57*J58</f>
        <v>0</v>
      </c>
      <c r="K59" s="18" t="n">
        <f aca="false">K57*K58</f>
        <v>0</v>
      </c>
      <c r="L59" s="18" t="n">
        <f aca="false">L57*L58</f>
        <v>0</v>
      </c>
      <c r="M59" s="18" t="n">
        <f aca="false">M57*M58</f>
        <v>0</v>
      </c>
      <c r="N59" s="18" t="n">
        <f aca="false">N57*N58</f>
        <v>0</v>
      </c>
    </row>
    <row r="60" customFormat="false" ht="15.75" hidden="false" customHeight="true" outlineLevel="0" collapsed="false">
      <c r="A60" s="17" t="s">
        <v>231</v>
      </c>
      <c r="B60" s="13" t="n">
        <f aca="false">B51+B54+B57</f>
        <v>0</v>
      </c>
      <c r="C60" s="13" t="n">
        <f aca="false">C51+C54+C57</f>
        <v>0</v>
      </c>
      <c r="D60" s="13" t="n">
        <f aca="false">D51+D54+D57</f>
        <v>0</v>
      </c>
      <c r="E60" s="13" t="n">
        <f aca="false">E51+E54+E57</f>
        <v>0</v>
      </c>
      <c r="F60" s="13" t="n">
        <f aca="false">F51+F54+F57</f>
        <v>0</v>
      </c>
      <c r="G60" s="13" t="n">
        <f aca="false">G51+G54+G57</f>
        <v>0</v>
      </c>
      <c r="H60" s="13" t="n">
        <f aca="false">H51+H54+H57</f>
        <v>0</v>
      </c>
      <c r="I60" s="13" t="n">
        <f aca="false">I51+I54+I57</f>
        <v>0</v>
      </c>
      <c r="J60" s="13" t="n">
        <f aca="false">J51+J54+J57</f>
        <v>0</v>
      </c>
      <c r="K60" s="13" t="n">
        <f aca="false">K51+K54+K57</f>
        <v>0</v>
      </c>
      <c r="L60" s="13" t="n">
        <f aca="false">L51+L54+L57</f>
        <v>0</v>
      </c>
      <c r="M60" s="13" t="n">
        <f aca="false">M51+M54+M57</f>
        <v>0</v>
      </c>
      <c r="N60" s="13" t="n">
        <f aca="false">N51+N54+N57</f>
        <v>0</v>
      </c>
    </row>
  </sheetData>
  <mergeCells count="10">
    <mergeCell ref="A1:N1"/>
    <mergeCell ref="A2:N2"/>
    <mergeCell ref="A3:N3"/>
    <mergeCell ref="A10:N10"/>
    <mergeCell ref="A17:N17"/>
    <mergeCell ref="A23:N23"/>
    <mergeCell ref="A31:N31"/>
    <mergeCell ref="A36:N36"/>
    <mergeCell ref="A45:N45"/>
    <mergeCell ref="A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0"/>
    <col collapsed="false" customWidth="true" hidden="false" outlineLevel="0" max="19" min="16" style="1" width="18"/>
  </cols>
  <sheetData>
    <row r="1" customFormat="false" ht="15.75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.75" hidden="false" customHeight="true" outlineLevel="0" collapsed="false">
      <c r="A3" s="6" t="s">
        <v>236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8" hidden="false" customHeight="true" outlineLevel="0" collapsed="false">
      <c r="A4" s="9" t="s">
        <v>237</v>
      </c>
      <c r="B4" s="9" t="s">
        <v>238</v>
      </c>
      <c r="C4" s="9" t="s">
        <v>239</v>
      </c>
      <c r="D4" s="9" t="s">
        <v>240</v>
      </c>
    </row>
    <row r="5" customFormat="false" ht="34.5" hidden="false" customHeight="true" outlineLevel="0" collapsed="false">
      <c r="A5" s="54" t="s">
        <v>241</v>
      </c>
      <c r="B5" s="54" t="s">
        <v>162</v>
      </c>
      <c r="C5" s="54" t="s">
        <v>242</v>
      </c>
      <c r="D5" s="54" t="s">
        <v>243</v>
      </c>
    </row>
    <row r="6" customFormat="false" ht="15" hidden="false" customHeight="true" outlineLevel="0" collapsed="false">
      <c r="A6" s="54" t="s">
        <v>244</v>
      </c>
      <c r="B6" s="54" t="s">
        <v>162</v>
      </c>
      <c r="C6" s="54" t="s">
        <v>245</v>
      </c>
      <c r="D6" s="54" t="s">
        <v>246</v>
      </c>
    </row>
    <row r="7" customFormat="false" ht="15" hidden="false" customHeight="true" outlineLevel="0" collapsed="false">
      <c r="A7" s="54" t="s">
        <v>247</v>
      </c>
      <c r="B7" s="54" t="s">
        <v>162</v>
      </c>
      <c r="C7" s="54" t="s">
        <v>248</v>
      </c>
      <c r="D7" s="54" t="s">
        <v>249</v>
      </c>
    </row>
    <row r="8" customFormat="false" ht="15" hidden="false" customHeight="true" outlineLevel="0" collapsed="false">
      <c r="A8" s="54" t="s">
        <v>250</v>
      </c>
      <c r="B8" s="54" t="s">
        <v>251</v>
      </c>
      <c r="C8" s="54" t="s">
        <v>252</v>
      </c>
      <c r="D8" s="54" t="s">
        <v>253</v>
      </c>
    </row>
    <row r="9" customFormat="false" ht="15" hidden="false" customHeight="true" outlineLevel="0" collapsed="false">
      <c r="A9" s="54" t="s">
        <v>254</v>
      </c>
      <c r="B9" s="54" t="s">
        <v>251</v>
      </c>
      <c r="C9" s="54" t="s">
        <v>252</v>
      </c>
      <c r="D9" s="54" t="s">
        <v>255</v>
      </c>
    </row>
    <row r="10" customFormat="false" ht="15" hidden="false" customHeight="true" outlineLevel="0" collapsed="false">
      <c r="A10" s="54" t="s">
        <v>256</v>
      </c>
      <c r="B10" s="54" t="s">
        <v>251</v>
      </c>
      <c r="C10" s="54" t="s">
        <v>252</v>
      </c>
      <c r="D10" s="54" t="s">
        <v>257</v>
      </c>
    </row>
    <row r="11" customFormat="false" ht="57" hidden="false" customHeight="true" outlineLevel="0" collapsed="false">
      <c r="A11" s="54" t="s">
        <v>258</v>
      </c>
      <c r="B11" s="54" t="s">
        <v>252</v>
      </c>
      <c r="C11" s="54" t="s">
        <v>259</v>
      </c>
      <c r="D11" s="54" t="s">
        <v>260</v>
      </c>
    </row>
    <row r="13" customFormat="false" ht="15.75" hidden="false" customHeight="true" outlineLevel="0" collapsed="false">
      <c r="A13" s="45" t="s">
        <v>209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customFormat="false" ht="18" hidden="false" customHeight="true" outlineLevel="0" collapsed="false">
      <c r="A14" s="9" t="s">
        <v>140</v>
      </c>
      <c r="B14" s="9" t="s">
        <v>210</v>
      </c>
      <c r="C14" s="9" t="s">
        <v>211</v>
      </c>
      <c r="D14" s="9" t="s">
        <v>212</v>
      </c>
      <c r="E14" s="9" t="s">
        <v>213</v>
      </c>
      <c r="F14" s="9" t="s">
        <v>214</v>
      </c>
      <c r="G14" s="9" t="s">
        <v>215</v>
      </c>
      <c r="H14" s="9" t="s">
        <v>216</v>
      </c>
      <c r="I14" s="9" t="s">
        <v>217</v>
      </c>
      <c r="J14" s="9" t="s">
        <v>218</v>
      </c>
      <c r="K14" s="9" t="s">
        <v>219</v>
      </c>
      <c r="L14" s="9" t="s">
        <v>220</v>
      </c>
      <c r="M14" s="9" t="s">
        <v>221</v>
      </c>
      <c r="N14" s="9" t="s">
        <v>207</v>
      </c>
    </row>
    <row r="15" customFormat="false" ht="15" hidden="false" customHeight="true" outlineLevel="0" collapsed="false">
      <c r="A15" s="10" t="s">
        <v>261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customFormat="false" ht="15" hidden="false" customHeight="true" outlineLevel="0" collapsed="false">
      <c r="A16" s="10" t="s">
        <v>262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customFormat="false" ht="15" hidden="false" customHeight="true" outlineLevel="0" collapsed="false">
      <c r="A17" s="10" t="s">
        <v>263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5" hidden="false" customHeight="true" outlineLevel="0" collapsed="false">
      <c r="A18" s="10" t="s">
        <v>264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customFormat="false" ht="15" hidden="false" customHeight="true" outlineLevel="0" collapsed="false">
      <c r="A19" s="10" t="s">
        <v>265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 customFormat="false" ht="15" hidden="false" customHeight="true" outlineLevel="0" collapsed="false">
      <c r="A20" s="10" t="s">
        <v>266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customFormat="false" ht="15" hidden="false" customHeight="true" outlineLevel="0" collapsed="false">
      <c r="A21" s="10" t="s">
        <v>267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customFormat="false" ht="15" hidden="false" customHeight="true" outlineLevel="0" collapsed="false">
      <c r="A22" s="17" t="s">
        <v>268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4" customFormat="false" ht="15.75" hidden="false" customHeight="true" outlineLevel="0" collapsed="false">
      <c r="A24" s="48" t="s">
        <v>232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customFormat="false" ht="18" hidden="false" customHeight="true" outlineLevel="0" collapsed="false">
      <c r="A25" s="9" t="s">
        <v>140</v>
      </c>
      <c r="B25" s="9" t="s">
        <v>210</v>
      </c>
      <c r="C25" s="9" t="s">
        <v>211</v>
      </c>
      <c r="D25" s="9" t="s">
        <v>212</v>
      </c>
      <c r="E25" s="9" t="s">
        <v>213</v>
      </c>
      <c r="F25" s="9" t="s">
        <v>214</v>
      </c>
      <c r="G25" s="9" t="s">
        <v>215</v>
      </c>
      <c r="H25" s="9" t="s">
        <v>216</v>
      </c>
      <c r="I25" s="9" t="s">
        <v>217</v>
      </c>
      <c r="J25" s="9" t="s">
        <v>218</v>
      </c>
      <c r="K25" s="9" t="s">
        <v>219</v>
      </c>
      <c r="L25" s="9" t="s">
        <v>220</v>
      </c>
      <c r="M25" s="9" t="s">
        <v>221</v>
      </c>
      <c r="N25" s="9" t="s">
        <v>207</v>
      </c>
    </row>
    <row r="26" customFormat="false" ht="15" hidden="false" customHeight="true" outlineLevel="0" collapsed="false">
      <c r="A26" s="10" t="s">
        <v>261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customFormat="false" ht="15" hidden="false" customHeight="true" outlineLevel="0" collapsed="false">
      <c r="A27" s="10" t="s">
        <v>262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customFormat="false" ht="15" hidden="false" customHeight="true" outlineLevel="0" collapsed="false">
      <c r="A28" s="10" t="s">
        <v>263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customFormat="false" ht="15" hidden="false" customHeight="true" outlineLevel="0" collapsed="false">
      <c r="A29" s="10" t="s">
        <v>264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customFormat="false" ht="15" hidden="false" customHeight="true" outlineLevel="0" collapsed="false">
      <c r="A30" s="10" t="s">
        <v>265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" hidden="false" customHeight="true" outlineLevel="0" collapsed="false">
      <c r="A31" s="10" t="s">
        <v>266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5" hidden="false" customHeight="true" outlineLevel="0" collapsed="false">
      <c r="A32" s="10" t="s">
        <v>267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customFormat="false" ht="15" hidden="false" customHeight="true" outlineLevel="0" collapsed="false">
      <c r="A33" s="17" t="s">
        <v>268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5" customFormat="false" ht="15.75" hidden="false" customHeight="true" outlineLevel="0" collapsed="false">
      <c r="A35" s="50" t="s">
        <v>233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customFormat="false" ht="18" hidden="false" customHeight="true" outlineLevel="0" collapsed="false">
      <c r="A36" s="9" t="s">
        <v>140</v>
      </c>
      <c r="B36" s="9" t="s">
        <v>210</v>
      </c>
      <c r="C36" s="9" t="s">
        <v>211</v>
      </c>
      <c r="D36" s="9" t="s">
        <v>212</v>
      </c>
      <c r="E36" s="9" t="s">
        <v>213</v>
      </c>
      <c r="F36" s="9" t="s">
        <v>214</v>
      </c>
      <c r="G36" s="9" t="s">
        <v>215</v>
      </c>
      <c r="H36" s="9" t="s">
        <v>216</v>
      </c>
      <c r="I36" s="9" t="s">
        <v>217</v>
      </c>
      <c r="J36" s="9" t="s">
        <v>218</v>
      </c>
      <c r="K36" s="9" t="s">
        <v>219</v>
      </c>
      <c r="L36" s="9" t="s">
        <v>220</v>
      </c>
      <c r="M36" s="9" t="s">
        <v>221</v>
      </c>
      <c r="N36" s="9" t="s">
        <v>207</v>
      </c>
    </row>
    <row r="37" customFormat="false" ht="15" hidden="false" customHeight="true" outlineLevel="0" collapsed="false">
      <c r="A37" s="10" t="s">
        <v>261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customFormat="false" ht="15" hidden="false" customHeight="true" outlineLevel="0" collapsed="false">
      <c r="A38" s="10" t="s">
        <v>262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</row>
    <row r="39" customFormat="false" ht="15" hidden="false" customHeight="true" outlineLevel="0" collapsed="false">
      <c r="A39" s="10" t="s">
        <v>263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customFormat="false" ht="15" hidden="false" customHeight="true" outlineLevel="0" collapsed="false">
      <c r="A40" s="10" t="s">
        <v>264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customFormat="false" ht="15" hidden="false" customHeight="true" outlineLevel="0" collapsed="false">
      <c r="A41" s="10" t="s">
        <v>265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</row>
    <row r="42" customFormat="false" ht="15" hidden="false" customHeight="true" outlineLevel="0" collapsed="false">
      <c r="A42" s="10" t="s">
        <v>266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customFormat="false" ht="15" hidden="false" customHeight="true" outlineLevel="0" collapsed="false">
      <c r="A43" s="10" t="s">
        <v>267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</row>
    <row r="44" customFormat="false" ht="15" hidden="false" customHeight="true" outlineLevel="0" collapsed="false">
      <c r="A44" s="17" t="s">
        <v>268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customFormat="false" ht="15" hidden="false" customHeight="tru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</row>
    <row r="46" customFormat="false" ht="15.75" hidden="false" customHeight="true" outlineLevel="0" collapsed="false">
      <c r="A46" s="52" t="s">
        <v>234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 customFormat="false" ht="18" hidden="false" customHeight="true" outlineLevel="0" collapsed="false">
      <c r="A47" s="9" t="s">
        <v>140</v>
      </c>
      <c r="B47" s="9" t="s">
        <v>210</v>
      </c>
      <c r="C47" s="9" t="s">
        <v>211</v>
      </c>
      <c r="D47" s="9" t="s">
        <v>212</v>
      </c>
      <c r="E47" s="9" t="s">
        <v>213</v>
      </c>
      <c r="F47" s="9" t="s">
        <v>214</v>
      </c>
      <c r="G47" s="9" t="s">
        <v>215</v>
      </c>
      <c r="H47" s="9" t="s">
        <v>216</v>
      </c>
      <c r="I47" s="9" t="s">
        <v>217</v>
      </c>
      <c r="J47" s="9" t="s">
        <v>218</v>
      </c>
      <c r="K47" s="9" t="s">
        <v>219</v>
      </c>
      <c r="L47" s="9" t="s">
        <v>220</v>
      </c>
      <c r="M47" s="9" t="s">
        <v>221</v>
      </c>
      <c r="N47" s="9" t="s">
        <v>207</v>
      </c>
    </row>
    <row r="48" customFormat="false" ht="15" hidden="false" customHeight="true" outlineLevel="0" collapsed="false">
      <c r="A48" s="10" t="s">
        <v>261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</row>
    <row r="49" customFormat="false" ht="15" hidden="false" customHeight="true" outlineLevel="0" collapsed="false">
      <c r="A49" s="10" t="s">
        <v>262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</row>
    <row r="50" customFormat="false" ht="15" hidden="false" customHeight="true" outlineLevel="0" collapsed="false">
      <c r="A50" s="10" t="s">
        <v>263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</row>
    <row r="51" customFormat="false" ht="15" hidden="false" customHeight="true" outlineLevel="0" collapsed="false">
      <c r="A51" s="10" t="s">
        <v>264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customFormat="false" ht="15" hidden="false" customHeight="true" outlineLevel="0" collapsed="false">
      <c r="A52" s="10" t="s">
        <v>265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customFormat="false" ht="15" hidden="false" customHeight="true" outlineLevel="0" collapsed="false">
      <c r="A53" s="10" t="s">
        <v>266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</row>
    <row r="54" customFormat="false" ht="15" hidden="false" customHeight="true" outlineLevel="0" collapsed="false">
      <c r="A54" s="10" t="s">
        <v>267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</row>
    <row r="55" customFormat="false" ht="15" hidden="false" customHeight="true" outlineLevel="0" collapsed="false">
      <c r="A55" s="17" t="s">
        <v>268</v>
      </c>
      <c r="B55" s="13" t="n">
        <f aca="false">B48+B49+B50+B51+B52+B53+B54</f>
        <v>0</v>
      </c>
      <c r="C55" s="13" t="n">
        <f aca="false">C48+C49+C50+C51+C52+C53+C54</f>
        <v>0</v>
      </c>
      <c r="D55" s="13" t="n">
        <f aca="false">D48+D49+D50+D51+D52+D53+D54</f>
        <v>0</v>
      </c>
      <c r="E55" s="13" t="n">
        <f aca="false">E48+E49+E50+E51+E52+E53+E54</f>
        <v>0</v>
      </c>
      <c r="F55" s="13" t="n">
        <f aca="false">F48+F49+F50+F51+F52+F53+F54</f>
        <v>0</v>
      </c>
      <c r="G55" s="13" t="n">
        <f aca="false">G48+G49+G50+G51+G52+G53+G54</f>
        <v>0</v>
      </c>
      <c r="H55" s="13" t="n">
        <f aca="false">H48+H49+H50+H51+H52+H53+H54</f>
        <v>0</v>
      </c>
      <c r="I55" s="13" t="n">
        <f aca="false">I48+I49+I50+I51+I52+I53+I54</f>
        <v>0</v>
      </c>
      <c r="J55" s="13" t="n">
        <f aca="false">J48+J49+J50+J51+J52+J53+J54</f>
        <v>0</v>
      </c>
      <c r="K55" s="13" t="n">
        <f aca="false">K48+K49+K50+K51+K52+K53+K54</f>
        <v>0</v>
      </c>
      <c r="L55" s="13" t="n">
        <f aca="false">L48+L49+L50+L51+L52+L53+L54</f>
        <v>0</v>
      </c>
      <c r="M55" s="13" t="n">
        <f aca="false">M48+M49+M50+M51+M52+M53+M54</f>
        <v>0</v>
      </c>
      <c r="N55" s="13" t="n">
        <f aca="false">N48+N49+N50+N51+N52+N53+N54</f>
        <v>0</v>
      </c>
    </row>
  </sheetData>
  <mergeCells count="10">
    <mergeCell ref="A1:N1"/>
    <mergeCell ref="A2:N2"/>
    <mergeCell ref="A3:N3"/>
    <mergeCell ref="A13:N13"/>
    <mergeCell ref="A17:N17"/>
    <mergeCell ref="A24:N24"/>
    <mergeCell ref="A31:N31"/>
    <mergeCell ref="A35:N35"/>
    <mergeCell ref="A45:N45"/>
    <mergeCell ref="A46:N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5" min="2" style="1" width="10"/>
    <col collapsed="false" customWidth="true" hidden="false" outlineLevel="0" max="19" min="16" style="1" width="18"/>
  </cols>
  <sheetData>
    <row r="1" customFormat="false" ht="15.75" hidden="false" customHeight="true" outlineLevel="0" collapsed="false">
      <c r="A1" s="2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.75" hidden="false" customHeight="true" outlineLevel="0" collapsed="false">
      <c r="A3" s="6" t="s">
        <v>270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true" outlineLevel="0" collapsed="false">
      <c r="A4" s="58" t="s">
        <v>271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6" customFormat="false" ht="15.75" hidden="false" customHeight="true" outlineLevel="0" collapsed="false">
      <c r="A6" s="45" t="s">
        <v>209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customFormat="false" ht="18" hidden="false" customHeight="true" outlineLevel="0" collapsed="false">
      <c r="A7" s="9" t="s">
        <v>140</v>
      </c>
      <c r="B7" s="9" t="s">
        <v>210</v>
      </c>
      <c r="C7" s="9" t="s">
        <v>211</v>
      </c>
      <c r="D7" s="9" t="s">
        <v>212</v>
      </c>
      <c r="E7" s="9" t="s">
        <v>213</v>
      </c>
      <c r="F7" s="9" t="s">
        <v>214</v>
      </c>
      <c r="G7" s="9" t="s">
        <v>215</v>
      </c>
      <c r="H7" s="9" t="s">
        <v>216</v>
      </c>
      <c r="I7" s="9" t="s">
        <v>217</v>
      </c>
      <c r="J7" s="9" t="s">
        <v>218</v>
      </c>
      <c r="K7" s="9" t="s">
        <v>219</v>
      </c>
      <c r="L7" s="9" t="s">
        <v>220</v>
      </c>
      <c r="M7" s="9" t="s">
        <v>221</v>
      </c>
      <c r="N7" s="9" t="s">
        <v>207</v>
      </c>
    </row>
    <row r="8" customFormat="false" ht="15" hidden="false" customHeight="true" outlineLevel="0" collapsed="false">
      <c r="A8" s="10" t="s">
        <v>241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customFormat="false" ht="15" hidden="false" customHeight="true" outlineLevel="0" collapsed="false">
      <c r="A9" s="10" t="s">
        <v>272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customFormat="false" ht="15" hidden="false" customHeight="true" outlineLevel="0" collapsed="false">
      <c r="A10" s="10" t="s">
        <v>273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customFormat="false" ht="15" hidden="false" customHeight="true" outlineLevel="0" collapsed="false">
      <c r="A11" s="10" t="s">
        <v>274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customFormat="false" ht="15" hidden="false" customHeight="true" outlineLevel="0" collapsed="false">
      <c r="A12" s="17" t="s">
        <v>275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4" customFormat="false" ht="15.75" hidden="false" customHeight="true" outlineLevel="0" collapsed="false">
      <c r="A14" s="48" t="s">
        <v>232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customFormat="false" ht="18" hidden="false" customHeight="true" outlineLevel="0" collapsed="false">
      <c r="A15" s="9" t="s">
        <v>140</v>
      </c>
      <c r="B15" s="9" t="s">
        <v>210</v>
      </c>
      <c r="C15" s="9" t="s">
        <v>211</v>
      </c>
      <c r="D15" s="9" t="s">
        <v>212</v>
      </c>
      <c r="E15" s="9" t="s">
        <v>213</v>
      </c>
      <c r="F15" s="9" t="s">
        <v>214</v>
      </c>
      <c r="G15" s="9" t="s">
        <v>215</v>
      </c>
      <c r="H15" s="9" t="s">
        <v>216</v>
      </c>
      <c r="I15" s="9" t="s">
        <v>217</v>
      </c>
      <c r="J15" s="9" t="s">
        <v>218</v>
      </c>
      <c r="K15" s="9" t="s">
        <v>219</v>
      </c>
      <c r="L15" s="9" t="s">
        <v>220</v>
      </c>
      <c r="M15" s="9" t="s">
        <v>221</v>
      </c>
      <c r="N15" s="9" t="s">
        <v>207</v>
      </c>
    </row>
    <row r="16" customFormat="false" ht="15" hidden="false" customHeight="true" outlineLevel="0" collapsed="false">
      <c r="A16" s="10" t="s">
        <v>241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customFormat="false" ht="15" hidden="false" customHeight="true" outlineLevel="0" collapsed="false">
      <c r="A17" s="10" t="s">
        <v>272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5" hidden="false" customHeight="true" outlineLevel="0" collapsed="false">
      <c r="A18" s="10" t="s">
        <v>273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customFormat="false" ht="15" hidden="false" customHeight="true" outlineLevel="0" collapsed="false">
      <c r="A19" s="10" t="s">
        <v>274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 customFormat="false" ht="15" hidden="false" customHeight="true" outlineLevel="0" collapsed="false">
      <c r="A20" s="17" t="s">
        <v>275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2" customFormat="false" ht="15.75" hidden="false" customHeight="true" outlineLevel="0" collapsed="false">
      <c r="A22" s="50" t="s">
        <v>233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customFormat="false" ht="18" hidden="false" customHeight="true" outlineLevel="0" collapsed="false">
      <c r="A23" s="9" t="s">
        <v>140</v>
      </c>
      <c r="B23" s="9" t="s">
        <v>210</v>
      </c>
      <c r="C23" s="9" t="s">
        <v>211</v>
      </c>
      <c r="D23" s="9" t="s">
        <v>212</v>
      </c>
      <c r="E23" s="9" t="s">
        <v>213</v>
      </c>
      <c r="F23" s="9" t="s">
        <v>214</v>
      </c>
      <c r="G23" s="9" t="s">
        <v>215</v>
      </c>
      <c r="H23" s="9" t="s">
        <v>216</v>
      </c>
      <c r="I23" s="9" t="s">
        <v>217</v>
      </c>
      <c r="J23" s="9" t="s">
        <v>218</v>
      </c>
      <c r="K23" s="9" t="s">
        <v>219</v>
      </c>
      <c r="L23" s="9" t="s">
        <v>220</v>
      </c>
      <c r="M23" s="9" t="s">
        <v>221</v>
      </c>
      <c r="N23" s="9" t="s">
        <v>207</v>
      </c>
    </row>
    <row r="24" customFormat="false" ht="15" hidden="false" customHeight="true" outlineLevel="0" collapsed="false">
      <c r="A24" s="10" t="s">
        <v>241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customFormat="false" ht="15" hidden="false" customHeight="true" outlineLevel="0" collapsed="false">
      <c r="A25" s="10" t="s">
        <v>272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customFormat="false" ht="15" hidden="false" customHeight="true" outlineLevel="0" collapsed="false">
      <c r="A26" s="10" t="s">
        <v>273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customFormat="false" ht="15" hidden="false" customHeight="true" outlineLevel="0" collapsed="false">
      <c r="A27" s="10" t="s">
        <v>274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customFormat="false" ht="15" hidden="false" customHeight="true" outlineLevel="0" collapsed="false">
      <c r="A28" s="17" t="s">
        <v>275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30" customFormat="false" ht="15.75" hidden="false" customHeight="true" outlineLevel="0" collapsed="false">
      <c r="A30" s="52" t="s">
        <v>234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customFormat="false" ht="18" hidden="false" customHeight="true" outlineLevel="0" collapsed="false">
      <c r="A31" s="9" t="s">
        <v>140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true" outlineLevel="0" collapsed="false">
      <c r="A32" s="10" t="s">
        <v>241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customFormat="false" ht="15" hidden="false" customHeight="true" outlineLevel="0" collapsed="false">
      <c r="A33" s="10" t="s">
        <v>272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customFormat="false" ht="15" hidden="false" customHeight="true" outlineLevel="0" collapsed="false">
      <c r="A34" s="10" t="s">
        <v>273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customFormat="false" ht="15" hidden="false" customHeight="true" outlineLevel="0" collapsed="false">
      <c r="A35" s="10" t="s">
        <v>274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</row>
    <row r="36" customFormat="false" ht="15" hidden="false" customHeight="true" outlineLevel="0" collapsed="false">
      <c r="A36" s="17" t="s">
        <v>275</v>
      </c>
      <c r="B36" s="13" t="n">
        <f aca="false">B32+B33+B34+B35</f>
        <v>0</v>
      </c>
      <c r="C36" s="13" t="n">
        <f aca="false">C32+C33+C34+C35</f>
        <v>0</v>
      </c>
      <c r="D36" s="13" t="n">
        <f aca="false">D32+D33+D34+D35</f>
        <v>0</v>
      </c>
      <c r="E36" s="13" t="n">
        <f aca="false">E32+E33+E34+E35</f>
        <v>0</v>
      </c>
      <c r="F36" s="13" t="n">
        <f aca="false">F32+F33+F34+F35</f>
        <v>0</v>
      </c>
      <c r="G36" s="13" t="n">
        <f aca="false">G32+G33+G34+G35</f>
        <v>0</v>
      </c>
      <c r="H36" s="13" t="n">
        <f aca="false">H32+H33+H34+H35</f>
        <v>0</v>
      </c>
      <c r="I36" s="13" t="n">
        <f aca="false">I32+I33+I34+I35</f>
        <v>0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</row>
    <row r="45" customFormat="false" ht="15" hidden="false" customHeight="tru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</row>
  </sheetData>
  <mergeCells count="11">
    <mergeCell ref="A1:N1"/>
    <mergeCell ref="A2:N2"/>
    <mergeCell ref="A3:N3"/>
    <mergeCell ref="A4:N4"/>
    <mergeCell ref="A6:N6"/>
    <mergeCell ref="A14:N14"/>
    <mergeCell ref="A17:N17"/>
    <mergeCell ref="A22:N22"/>
    <mergeCell ref="A30:N30"/>
    <mergeCell ref="A31:N31"/>
    <mergeCell ref="A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5" min="2" style="1" width="10"/>
    <col collapsed="false" customWidth="true" hidden="false" outlineLevel="0" max="19" min="16" style="1" width="18"/>
  </cols>
  <sheetData>
    <row r="1" customFormat="false" ht="15.75" hidden="false" customHeight="true" outlineLevel="0" collapsed="false">
      <c r="A1" s="2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.75" hidden="false" customHeight="true" outlineLevel="0" collapsed="false">
      <c r="A3" s="6" t="s">
        <v>277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true" outlineLevel="0" collapsed="false">
      <c r="A4" s="58" t="s">
        <v>278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6" customFormat="false" ht="15.75" hidden="false" customHeight="true" outlineLevel="0" collapsed="false">
      <c r="A6" s="45" t="s">
        <v>209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customFormat="false" ht="18" hidden="false" customHeight="true" outlineLevel="0" collapsed="false">
      <c r="A7" s="9" t="s">
        <v>140</v>
      </c>
      <c r="B7" s="9" t="s">
        <v>210</v>
      </c>
      <c r="C7" s="9" t="s">
        <v>211</v>
      </c>
      <c r="D7" s="9" t="s">
        <v>212</v>
      </c>
      <c r="E7" s="9" t="s">
        <v>213</v>
      </c>
      <c r="F7" s="9" t="s">
        <v>214</v>
      </c>
      <c r="G7" s="9" t="s">
        <v>215</v>
      </c>
      <c r="H7" s="9" t="s">
        <v>216</v>
      </c>
      <c r="I7" s="9" t="s">
        <v>217</v>
      </c>
      <c r="J7" s="9" t="s">
        <v>218</v>
      </c>
      <c r="K7" s="9" t="s">
        <v>219</v>
      </c>
      <c r="L7" s="9" t="s">
        <v>220</v>
      </c>
      <c r="M7" s="9" t="s">
        <v>221</v>
      </c>
      <c r="N7" s="9" t="s">
        <v>207</v>
      </c>
    </row>
    <row r="8" customFormat="false" ht="15" hidden="false" customHeight="true" outlineLevel="0" collapsed="false">
      <c r="A8" s="54" t="s">
        <v>279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customFormat="false" ht="15" hidden="false" customHeight="true" outlineLevel="0" collapsed="false">
      <c r="A9" s="54" t="s">
        <v>280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customFormat="false" ht="15" hidden="false" customHeight="true" outlineLevel="0" collapsed="false">
      <c r="A10" s="54" t="s">
        <v>281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customFormat="false" ht="15" hidden="false" customHeight="true" outlineLevel="0" collapsed="false">
      <c r="A11" s="54" t="s">
        <v>282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customFormat="false" ht="15" hidden="false" customHeight="true" outlineLevel="0" collapsed="false">
      <c r="A12" s="54" t="s">
        <v>283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customFormat="false" ht="15" hidden="false" customHeight="true" outlineLevel="0" collapsed="false">
      <c r="A13" s="54" t="s">
        <v>266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customFormat="false" ht="15" hidden="false" customHeight="true" outlineLevel="0" collapsed="false">
      <c r="A14" s="54" t="s">
        <v>284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customFormat="false" ht="15" hidden="false" customHeight="true" outlineLevel="0" collapsed="false">
      <c r="A15" s="54" t="s">
        <v>285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customFormat="false" ht="15" hidden="false" customHeight="true" outlineLevel="0" collapsed="false">
      <c r="A16" s="54" t="s">
        <v>286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customFormat="false" ht="15" hidden="false" customHeight="true" outlineLevel="0" collapsed="false">
      <c r="A17" s="54" t="s">
        <v>287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</row>
    <row r="18" customFormat="false" ht="15" hidden="false" customHeight="true" outlineLevel="0" collapsed="false">
      <c r="A18" s="59" t="s">
        <v>288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customFormat="false" ht="15" hidden="false" customHeight="true" outlineLevel="0" collapsed="false">
      <c r="A19" s="59" t="s">
        <v>289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customFormat="false" ht="15" hidden="false" customHeight="true" outlineLevel="0" collapsed="false">
      <c r="A20" s="12" t="s">
        <v>290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2" customFormat="false" ht="15.75" hidden="false" customHeight="true" outlineLevel="0" collapsed="false">
      <c r="A22" s="48" t="s">
        <v>232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customFormat="false" ht="18" hidden="false" customHeight="true" outlineLevel="0" collapsed="false">
      <c r="A23" s="9" t="s">
        <v>140</v>
      </c>
      <c r="B23" s="9" t="s">
        <v>210</v>
      </c>
      <c r="C23" s="9" t="s">
        <v>211</v>
      </c>
      <c r="D23" s="9" t="s">
        <v>212</v>
      </c>
      <c r="E23" s="9" t="s">
        <v>213</v>
      </c>
      <c r="F23" s="9" t="s">
        <v>214</v>
      </c>
      <c r="G23" s="9" t="s">
        <v>215</v>
      </c>
      <c r="H23" s="9" t="s">
        <v>216</v>
      </c>
      <c r="I23" s="9" t="s">
        <v>217</v>
      </c>
      <c r="J23" s="9" t="s">
        <v>218</v>
      </c>
      <c r="K23" s="9" t="s">
        <v>219</v>
      </c>
      <c r="L23" s="9" t="s">
        <v>220</v>
      </c>
      <c r="M23" s="9" t="s">
        <v>221</v>
      </c>
      <c r="N23" s="9" t="s">
        <v>207</v>
      </c>
    </row>
    <row r="24" customFormat="false" ht="15" hidden="false" customHeight="true" outlineLevel="0" collapsed="false">
      <c r="A24" s="54" t="s">
        <v>279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customFormat="false" ht="15" hidden="false" customHeight="true" outlineLevel="0" collapsed="false">
      <c r="A25" s="54" t="s">
        <v>280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customFormat="false" ht="15" hidden="false" customHeight="true" outlineLevel="0" collapsed="false">
      <c r="A26" s="54" t="s">
        <v>281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customFormat="false" ht="15" hidden="false" customHeight="true" outlineLevel="0" collapsed="false">
      <c r="A27" s="54" t="s">
        <v>282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customFormat="false" ht="15" hidden="false" customHeight="true" outlineLevel="0" collapsed="false">
      <c r="A28" s="54" t="s">
        <v>283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customFormat="false" ht="15" hidden="false" customHeight="true" outlineLevel="0" collapsed="false">
      <c r="A29" s="54" t="s">
        <v>266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customFormat="false" ht="15" hidden="false" customHeight="true" outlineLevel="0" collapsed="false">
      <c r="A30" s="54" t="s">
        <v>284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" hidden="false" customHeight="true" outlineLevel="0" collapsed="false">
      <c r="A31" s="54" t="s">
        <v>285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customFormat="false" ht="15" hidden="false" customHeight="true" outlineLevel="0" collapsed="false">
      <c r="A32" s="54" t="s">
        <v>286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customFormat="false" ht="15" hidden="false" customHeight="true" outlineLevel="0" collapsed="false">
      <c r="A33" s="54" t="s">
        <v>287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customFormat="false" ht="15" hidden="false" customHeight="true" outlineLevel="0" collapsed="false">
      <c r="A34" s="59" t="s">
        <v>288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</row>
    <row r="35" customFormat="false" ht="15" hidden="false" customHeight="true" outlineLevel="0" collapsed="false">
      <c r="A35" s="59" t="s">
        <v>289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customFormat="false" ht="15" hidden="false" customHeight="true" outlineLevel="0" collapsed="false">
      <c r="A36" s="12" t="s">
        <v>290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</row>
    <row r="38" customFormat="false" ht="15.75" hidden="false" customHeight="true" outlineLevel="0" collapsed="false">
      <c r="A38" s="50" t="s">
        <v>233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customFormat="false" ht="18" hidden="false" customHeight="true" outlineLevel="0" collapsed="false">
      <c r="A39" s="9" t="s">
        <v>140</v>
      </c>
      <c r="B39" s="9" t="s">
        <v>210</v>
      </c>
      <c r="C39" s="9" t="s">
        <v>211</v>
      </c>
      <c r="D39" s="9" t="s">
        <v>212</v>
      </c>
      <c r="E39" s="9" t="s">
        <v>213</v>
      </c>
      <c r="F39" s="9" t="s">
        <v>214</v>
      </c>
      <c r="G39" s="9" t="s">
        <v>215</v>
      </c>
      <c r="H39" s="9" t="s">
        <v>216</v>
      </c>
      <c r="I39" s="9" t="s">
        <v>217</v>
      </c>
      <c r="J39" s="9" t="s">
        <v>218</v>
      </c>
      <c r="K39" s="9" t="s">
        <v>219</v>
      </c>
      <c r="L39" s="9" t="s">
        <v>220</v>
      </c>
      <c r="M39" s="9" t="s">
        <v>221</v>
      </c>
      <c r="N39" s="9" t="s">
        <v>207</v>
      </c>
    </row>
    <row r="40" customFormat="false" ht="15" hidden="false" customHeight="true" outlineLevel="0" collapsed="false">
      <c r="A40" s="54" t="s">
        <v>279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customFormat="false" ht="15" hidden="false" customHeight="true" outlineLevel="0" collapsed="false">
      <c r="A41" s="54" t="s">
        <v>280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</row>
    <row r="42" customFormat="false" ht="15" hidden="false" customHeight="true" outlineLevel="0" collapsed="false">
      <c r="A42" s="54" t="s">
        <v>281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customFormat="false" ht="15" hidden="false" customHeight="true" outlineLevel="0" collapsed="false">
      <c r="A43" s="54" t="s">
        <v>282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</row>
    <row r="44" customFormat="false" ht="15" hidden="false" customHeight="true" outlineLevel="0" collapsed="false">
      <c r="A44" s="54" t="s">
        <v>283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customFormat="false" ht="15" hidden="false" customHeight="true" outlineLevel="0" collapsed="false">
      <c r="A45" s="54" t="s">
        <v>266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customFormat="false" ht="15" hidden="false" customHeight="true" outlineLevel="0" collapsed="false">
      <c r="A46" s="54" t="s">
        <v>284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customFormat="false" ht="15" hidden="false" customHeight="true" outlineLevel="0" collapsed="false">
      <c r="A47" s="54" t="s">
        <v>285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customFormat="false" ht="15" hidden="false" customHeight="true" outlineLevel="0" collapsed="false">
      <c r="A48" s="54" t="s">
        <v>286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customFormat="false" ht="15" hidden="false" customHeight="true" outlineLevel="0" collapsed="false">
      <c r="A49" s="54" t="s">
        <v>287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customFormat="false" ht="15" hidden="false" customHeight="true" outlineLevel="0" collapsed="false">
      <c r="A50" s="59" t="s">
        <v>288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customFormat="false" ht="15" hidden="false" customHeight="true" outlineLevel="0" collapsed="false">
      <c r="A51" s="59" t="s">
        <v>289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customFormat="false" ht="15" hidden="false" customHeight="true" outlineLevel="0" collapsed="false">
      <c r="A52" s="12" t="s">
        <v>290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4" customFormat="false" ht="15.75" hidden="false" customHeight="true" outlineLevel="0" collapsed="false">
      <c r="A54" s="52" t="s">
        <v>234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 customFormat="false" ht="18" hidden="false" customHeight="true" outlineLevel="0" collapsed="false">
      <c r="A55" s="9" t="s">
        <v>140</v>
      </c>
      <c r="B55" s="9" t="s">
        <v>210</v>
      </c>
      <c r="C55" s="9" t="s">
        <v>211</v>
      </c>
      <c r="D55" s="9" t="s">
        <v>212</v>
      </c>
      <c r="E55" s="9" t="s">
        <v>213</v>
      </c>
      <c r="F55" s="9" t="s">
        <v>214</v>
      </c>
      <c r="G55" s="9" t="s">
        <v>215</v>
      </c>
      <c r="H55" s="9" t="s">
        <v>216</v>
      </c>
      <c r="I55" s="9" t="s">
        <v>217</v>
      </c>
      <c r="J55" s="9" t="s">
        <v>218</v>
      </c>
      <c r="K55" s="9" t="s">
        <v>219</v>
      </c>
      <c r="L55" s="9" t="s">
        <v>220</v>
      </c>
      <c r="M55" s="9" t="s">
        <v>221</v>
      </c>
      <c r="N55" s="9" t="s">
        <v>207</v>
      </c>
    </row>
    <row r="56" customFormat="false" ht="15" hidden="false" customHeight="true" outlineLevel="0" collapsed="false">
      <c r="A56" s="54" t="s">
        <v>279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</row>
    <row r="57" customFormat="false" ht="15" hidden="false" customHeight="true" outlineLevel="0" collapsed="false">
      <c r="A57" s="54" t="s">
        <v>280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customFormat="false" ht="15" hidden="false" customHeight="true" outlineLevel="0" collapsed="false">
      <c r="A58" s="54" t="s">
        <v>281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</row>
    <row r="59" customFormat="false" ht="15" hidden="false" customHeight="true" outlineLevel="0" collapsed="false">
      <c r="A59" s="54" t="s">
        <v>282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</row>
    <row r="60" customFormat="false" ht="15" hidden="false" customHeight="true" outlineLevel="0" collapsed="false">
      <c r="A60" s="54" t="s">
        <v>283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</row>
    <row r="61" customFormat="false" ht="15" hidden="false" customHeight="true" outlineLevel="0" collapsed="false">
      <c r="A61" s="54" t="s">
        <v>266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</row>
    <row r="62" customFormat="false" ht="15" hidden="false" customHeight="true" outlineLevel="0" collapsed="false">
      <c r="A62" s="54" t="s">
        <v>284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</row>
    <row r="63" customFormat="false" ht="15" hidden="false" customHeight="true" outlineLevel="0" collapsed="false">
      <c r="A63" s="54" t="s">
        <v>285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</row>
    <row r="64" customFormat="false" ht="15" hidden="false" customHeight="true" outlineLevel="0" collapsed="false">
      <c r="A64" s="54" t="s">
        <v>286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</row>
    <row r="65" customFormat="false" ht="15" hidden="false" customHeight="true" outlineLevel="0" collapsed="false">
      <c r="A65" s="54" t="s">
        <v>287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</row>
    <row r="66" customFormat="false" ht="15" hidden="false" customHeight="true" outlineLevel="0" collapsed="false">
      <c r="A66" s="59" t="s">
        <v>288</v>
      </c>
      <c r="B66" s="22" t="n">
        <f aca="false">SUM(B57:B65)</f>
        <v>0</v>
      </c>
      <c r="C66" s="22" t="n">
        <f aca="false">SUM(C57:C65)</f>
        <v>0</v>
      </c>
      <c r="D66" s="22" t="n">
        <f aca="false">SUM(D57:D65)</f>
        <v>0</v>
      </c>
      <c r="E66" s="22" t="n">
        <f aca="false">SUM(E57:E65)</f>
        <v>0</v>
      </c>
      <c r="F66" s="22" t="n">
        <f aca="false">SUM(F57:F65)</f>
        <v>0</v>
      </c>
      <c r="G66" s="22" t="n">
        <f aca="false">SUM(G57:G65)</f>
        <v>0</v>
      </c>
      <c r="H66" s="22" t="n">
        <f aca="false">SUM(H57:H65)</f>
        <v>0</v>
      </c>
      <c r="I66" s="22" t="n">
        <f aca="false">SUM(I57:I65)</f>
        <v>0</v>
      </c>
      <c r="J66" s="22" t="n">
        <f aca="false">SUM(J57:J65)</f>
        <v>0</v>
      </c>
      <c r="K66" s="22" t="n">
        <f aca="false">SUM(K57:K65)</f>
        <v>0</v>
      </c>
      <c r="L66" s="22" t="n">
        <f aca="false">SUM(L57:L65)</f>
        <v>0</v>
      </c>
      <c r="M66" s="22" t="n">
        <f aca="false">SUM(M57:M65)</f>
        <v>0</v>
      </c>
      <c r="N66" s="22" t="n">
        <f aca="false">SUM(N57:N65)</f>
        <v>0</v>
      </c>
    </row>
    <row r="67" customFormat="false" ht="15" hidden="false" customHeight="true" outlineLevel="0" collapsed="false">
      <c r="A67" s="59" t="s">
        <v>289</v>
      </c>
      <c r="B67" s="22" t="n">
        <f aca="false">B56+B66</f>
        <v>0</v>
      </c>
      <c r="C67" s="22" t="n">
        <f aca="false">C56+C66</f>
        <v>0</v>
      </c>
      <c r="D67" s="22" t="n">
        <f aca="false">D56+D66</f>
        <v>0</v>
      </c>
      <c r="E67" s="22" t="n">
        <f aca="false">E56+E66</f>
        <v>0</v>
      </c>
      <c r="F67" s="22" t="n">
        <f aca="false">F56+F66</f>
        <v>0</v>
      </c>
      <c r="G67" s="22" t="n">
        <f aca="false">G56+G66</f>
        <v>0</v>
      </c>
      <c r="H67" s="22" t="n">
        <f aca="false">H56+H66</f>
        <v>0</v>
      </c>
      <c r="I67" s="22" t="n">
        <f aca="false">I56+I66</f>
        <v>0</v>
      </c>
      <c r="J67" s="22" t="n">
        <f aca="false">J56+J66</f>
        <v>0</v>
      </c>
      <c r="K67" s="22" t="n">
        <f aca="false">K56+K66</f>
        <v>0</v>
      </c>
      <c r="L67" s="22" t="n">
        <f aca="false">L56+L66</f>
        <v>0</v>
      </c>
      <c r="M67" s="22" t="n">
        <f aca="false">M56+M66</f>
        <v>0</v>
      </c>
      <c r="N67" s="22" t="n">
        <f aca="false">N56+N66</f>
        <v>0</v>
      </c>
    </row>
    <row r="68" customFormat="false" ht="15" hidden="false" customHeight="true" outlineLevel="0" collapsed="false">
      <c r="A68" s="12" t="s">
        <v>290</v>
      </c>
      <c r="B68" s="13" t="n">
        <f aca="false">B67</f>
        <v>0</v>
      </c>
      <c r="C68" s="13" t="n">
        <f aca="false">B68+C67</f>
        <v>0</v>
      </c>
      <c r="D68" s="13" t="n">
        <f aca="false">C68+D67</f>
        <v>0</v>
      </c>
      <c r="E68" s="13" t="n">
        <f aca="false">D68+E67</f>
        <v>0</v>
      </c>
      <c r="F68" s="13" t="n">
        <f aca="false">E68+F67</f>
        <v>0</v>
      </c>
      <c r="G68" s="13" t="n">
        <f aca="false">F68+G67</f>
        <v>0</v>
      </c>
      <c r="H68" s="13" t="n">
        <f aca="false">G68+H67</f>
        <v>0</v>
      </c>
      <c r="I68" s="13" t="n">
        <f aca="false">H68+I67</f>
        <v>0</v>
      </c>
      <c r="J68" s="13" t="n">
        <f aca="false">I68+J67</f>
        <v>0</v>
      </c>
      <c r="K68" s="13" t="n">
        <f aca="false">J68+K67</f>
        <v>0</v>
      </c>
      <c r="L68" s="13" t="n">
        <f aca="false">K68+L67</f>
        <v>0</v>
      </c>
      <c r="M68" s="13" t="n">
        <f aca="false">L68+M67</f>
        <v>0</v>
      </c>
      <c r="N68" s="13" t="n">
        <f aca="false">M68+N67</f>
        <v>0</v>
      </c>
    </row>
  </sheetData>
  <mergeCells count="11">
    <mergeCell ref="A1:N1"/>
    <mergeCell ref="A2:N2"/>
    <mergeCell ref="A3:N3"/>
    <mergeCell ref="A4:N4"/>
    <mergeCell ref="A6:N6"/>
    <mergeCell ref="A17:N17"/>
    <mergeCell ref="A22:N22"/>
    <mergeCell ref="A31:N31"/>
    <mergeCell ref="A38:N38"/>
    <mergeCell ref="A45:N45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19" min="7" style="1" width="18"/>
  </cols>
  <sheetData>
    <row r="1" customFormat="false" ht="15.75" hidden="false" customHeight="true" outlineLevel="0" collapsed="false">
      <c r="A1" s="2" t="s">
        <v>291</v>
      </c>
      <c r="B1" s="2"/>
      <c r="C1" s="2"/>
      <c r="D1" s="2"/>
      <c r="E1" s="2"/>
      <c r="F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</row>
    <row r="3" customFormat="false" ht="15.75" hidden="false" customHeight="true" outlineLevel="0" collapsed="false">
      <c r="A3" s="62" t="s">
        <v>292</v>
      </c>
      <c r="B3" s="62"/>
      <c r="C3" s="62"/>
      <c r="D3" s="62"/>
      <c r="E3" s="62"/>
      <c r="F3" s="62"/>
    </row>
    <row r="5" customFormat="false" ht="18" hidden="false" customHeight="true" outlineLevel="0" collapsed="false">
      <c r="A5" s="9" t="s">
        <v>140</v>
      </c>
      <c r="B5" s="9" t="s">
        <v>293</v>
      </c>
      <c r="C5" s="9" t="s">
        <v>294</v>
      </c>
      <c r="D5" s="9" t="s">
        <v>295</v>
      </c>
      <c r="E5" s="9" t="s">
        <v>296</v>
      </c>
      <c r="F5" s="9" t="s">
        <v>297</v>
      </c>
    </row>
    <row r="6" customFormat="false" ht="23.25" hidden="false" customHeight="true" outlineLevel="0" collapsed="false">
      <c r="A6" s="10" t="s">
        <v>58</v>
      </c>
      <c r="B6" s="47" t="n">
        <v>1312500</v>
      </c>
      <c r="C6" s="61"/>
      <c r="D6" s="18" t="n">
        <f aca="false">C6-B6</f>
        <v>-1312500</v>
      </c>
      <c r="E6" s="63" t="n">
        <f aca="false">IF(B6=0,0,(C6-B6)/ABS(B6))</f>
        <v>-1</v>
      </c>
      <c r="F6" s="19" t="s">
        <v>298</v>
      </c>
    </row>
    <row r="7" customFormat="false" ht="23.25" hidden="false" customHeight="true" outlineLevel="0" collapsed="false">
      <c r="A7" s="10" t="s">
        <v>299</v>
      </c>
      <c r="B7" s="47" t="n">
        <v>690060</v>
      </c>
      <c r="C7" s="61"/>
      <c r="D7" s="18" t="n">
        <f aca="false">C7-B7</f>
        <v>-690060</v>
      </c>
      <c r="E7" s="63" t="n">
        <f aca="false">IF(B7=0,0,(C7-B7)/ABS(B7))</f>
        <v>-1</v>
      </c>
      <c r="F7" s="19" t="s">
        <v>300</v>
      </c>
    </row>
    <row r="8" customFormat="false" ht="15" hidden="false" customHeight="true" outlineLevel="0" collapsed="false">
      <c r="A8" s="10" t="s">
        <v>272</v>
      </c>
      <c r="B8" s="47" t="n">
        <v>34125</v>
      </c>
      <c r="C8" s="61"/>
      <c r="D8" s="18" t="n">
        <f aca="false">C8-B8</f>
        <v>-34125</v>
      </c>
      <c r="E8" s="63" t="n">
        <f aca="false">IF(B8=0,0,(C8-B8)/ABS(B8))</f>
        <v>-1</v>
      </c>
      <c r="F8" s="19" t="s">
        <v>301</v>
      </c>
    </row>
    <row r="9" customFormat="false" ht="15" hidden="false" customHeight="true" outlineLevel="0" collapsed="false">
      <c r="A9" s="10" t="s">
        <v>302</v>
      </c>
      <c r="B9" s="47" t="n">
        <v>389914</v>
      </c>
      <c r="C9" s="61"/>
      <c r="D9" s="18" t="n">
        <f aca="false">C9-B9</f>
        <v>-389914</v>
      </c>
      <c r="E9" s="63" t="n">
        <f aca="false">IF(B9=0,0,(C9-B9)/ABS(B9))</f>
        <v>-1</v>
      </c>
      <c r="F9" s="19" t="s">
        <v>303</v>
      </c>
    </row>
    <row r="10" customFormat="false" ht="23.25" hidden="false" customHeight="true" outlineLevel="0" collapsed="false">
      <c r="A10" s="10" t="s">
        <v>304</v>
      </c>
      <c r="B10" s="47" t="n">
        <v>58725</v>
      </c>
      <c r="C10" s="61"/>
      <c r="D10" s="18" t="n">
        <f aca="false">C10-B10</f>
        <v>-58725</v>
      </c>
      <c r="E10" s="63" t="n">
        <f aca="false">IF(B10=0,0,(C10-B10)/ABS(B10))</f>
        <v>-1</v>
      </c>
      <c r="F10" s="19" t="s">
        <v>305</v>
      </c>
    </row>
    <row r="11" customFormat="false" ht="15" hidden="false" customHeight="true" outlineLevel="0" collapsed="false">
      <c r="A11" s="10" t="s">
        <v>306</v>
      </c>
      <c r="B11" s="47" t="n">
        <v>170625</v>
      </c>
      <c r="C11" s="61"/>
      <c r="D11" s="18" t="n">
        <f aca="false">C11-B11</f>
        <v>-170625</v>
      </c>
      <c r="E11" s="63" t="n">
        <f aca="false">IF(B11=0,0,(C11-B11)/ABS(B11))</f>
        <v>-1</v>
      </c>
      <c r="F11" s="19" t="s">
        <v>307</v>
      </c>
    </row>
    <row r="12" customFormat="false" ht="23.25" hidden="false" customHeight="true" outlineLevel="0" collapsed="false">
      <c r="A12" s="10" t="s">
        <v>308</v>
      </c>
      <c r="B12" s="47" t="n">
        <v>-15000</v>
      </c>
      <c r="C12" s="61"/>
      <c r="D12" s="18" t="n">
        <f aca="false">C12-B12</f>
        <v>15000</v>
      </c>
      <c r="E12" s="63" t="n">
        <f aca="false">IF(B12=0,0,(C12-B12)/ABS(B12))</f>
        <v>1</v>
      </c>
      <c r="F12" s="19" t="s">
        <v>309</v>
      </c>
    </row>
    <row r="13" customFormat="false" ht="15" hidden="false" customHeight="true" outlineLevel="0" collapsed="false">
      <c r="A13" s="10" t="s">
        <v>310</v>
      </c>
      <c r="B13" s="47" t="n">
        <v>26730</v>
      </c>
      <c r="C13" s="61"/>
      <c r="D13" s="18" t="n">
        <f aca="false">C13-B13</f>
        <v>-26730</v>
      </c>
      <c r="E13" s="63" t="n">
        <f aca="false">IF(B13=0,0,(C13-B13)/ABS(B13))</f>
        <v>-1</v>
      </c>
      <c r="F13" s="19" t="s">
        <v>311</v>
      </c>
    </row>
    <row r="15" customFormat="false" ht="15.75" hidden="false" customHeight="true" outlineLevel="0" collapsed="false">
      <c r="A15" s="3" t="s">
        <v>312</v>
      </c>
      <c r="B15" s="3"/>
      <c r="C15" s="3"/>
      <c r="D15" s="3"/>
      <c r="E15" s="3"/>
      <c r="F15" s="3"/>
    </row>
    <row r="16" customFormat="false" ht="18" hidden="false" customHeight="true" outlineLevel="0" collapsed="false">
      <c r="A16" s="9"/>
      <c r="B16" s="9" t="s">
        <v>313</v>
      </c>
      <c r="C16" s="9" t="s">
        <v>314</v>
      </c>
      <c r="D16" s="9" t="s">
        <v>315</v>
      </c>
      <c r="E16" s="9" t="s">
        <v>316</v>
      </c>
      <c r="F16" s="9" t="s">
        <v>57</v>
      </c>
    </row>
    <row r="17" customFormat="false" ht="23.25" hidden="false" customHeight="true" outlineLevel="0" collapsed="false">
      <c r="A17" s="17" t="s">
        <v>317</v>
      </c>
      <c r="B17" s="64" t="n">
        <f aca="false">B6-B7-B11</f>
        <v>451815</v>
      </c>
      <c r="C17" s="18" t="n">
        <f aca="false">C6-C7-C11</f>
        <v>0</v>
      </c>
      <c r="D17" s="18" t="n">
        <f aca="false">C17-B17</f>
        <v>-451815</v>
      </c>
      <c r="E17" s="63" t="n">
        <f aca="false">IF(B17=0,0,D17/ABS(B17))</f>
        <v>-1</v>
      </c>
      <c r="F17" s="59" t="s">
        <v>318</v>
      </c>
    </row>
    <row r="19" customFormat="false" ht="15.75" hidden="false" customHeight="true" outlineLevel="0" collapsed="false">
      <c r="A19" s="6" t="s">
        <v>319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24" t="s">
        <v>320</v>
      </c>
      <c r="B20" s="24"/>
      <c r="C20" s="24"/>
      <c r="D20" s="24"/>
      <c r="E20" s="24"/>
      <c r="F20" s="24"/>
    </row>
    <row r="21" customFormat="false" ht="27.75" hidden="false" customHeight="true" outlineLevel="0" collapsed="false">
      <c r="A21" s="25"/>
      <c r="B21" s="25"/>
      <c r="C21" s="25"/>
      <c r="D21" s="25"/>
      <c r="E21" s="25"/>
      <c r="F21" s="25"/>
    </row>
    <row r="22" customFormat="false" ht="15" hidden="false" customHeight="true" outlineLevel="0" collapsed="false">
      <c r="A22" s="24" t="s">
        <v>321</v>
      </c>
      <c r="B22" s="24"/>
      <c r="C22" s="24"/>
      <c r="D22" s="24"/>
      <c r="E22" s="24"/>
      <c r="F22" s="24"/>
    </row>
    <row r="23" customFormat="false" ht="27.75" hidden="false" customHeight="true" outlineLevel="0" collapsed="false">
      <c r="A23" s="25"/>
      <c r="B23" s="25"/>
      <c r="C23" s="25"/>
      <c r="D23" s="25"/>
      <c r="E23" s="25"/>
      <c r="F23" s="25"/>
    </row>
    <row r="24" customFormat="false" ht="15" hidden="false" customHeight="true" outlineLevel="0" collapsed="false">
      <c r="A24" s="24" t="s">
        <v>322</v>
      </c>
      <c r="B24" s="24"/>
      <c r="C24" s="24"/>
      <c r="D24" s="24"/>
      <c r="E24" s="24"/>
      <c r="F24" s="24"/>
    </row>
    <row r="25" customFormat="false" ht="27.75" hidden="false" customHeight="true" outlineLevel="0" collapsed="false">
      <c r="A25" s="25"/>
      <c r="B25" s="25"/>
      <c r="C25" s="25"/>
      <c r="D25" s="25"/>
      <c r="E25" s="25"/>
      <c r="F25" s="25"/>
    </row>
    <row r="26" customFormat="false" ht="12" hidden="false" customHeight="true" outlineLevel="0" collapsed="false">
      <c r="A26" s="24" t="s">
        <v>323</v>
      </c>
      <c r="B26" s="24"/>
      <c r="C26" s="24"/>
      <c r="D26" s="24"/>
      <c r="E26" s="24"/>
      <c r="F26" s="24"/>
    </row>
    <row r="27" customFormat="false" ht="27.75" hidden="false" customHeight="true" outlineLevel="0" collapsed="false">
      <c r="A27" s="25"/>
      <c r="B27" s="25"/>
      <c r="C27" s="25"/>
      <c r="D27" s="25"/>
      <c r="E27" s="25"/>
      <c r="F27" s="25"/>
    </row>
  </sheetData>
  <mergeCells count="9">
    <mergeCell ref="A1:F1"/>
    <mergeCell ref="A2:F2"/>
    <mergeCell ref="A3:F3"/>
    <mergeCell ref="A15:F15"/>
    <mergeCell ref="A19:F19"/>
    <mergeCell ref="A20:F20"/>
    <mergeCell ref="A22:F22"/>
    <mergeCell ref="A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5" min="2" style="1" width="10"/>
    <col collapsed="false" customWidth="true" hidden="false" outlineLevel="0" max="19" min="16" style="1" width="18"/>
  </cols>
  <sheetData>
    <row r="1" customFormat="false" ht="15.75" hidden="false" customHeight="true" outlineLevel="0" collapsed="false">
      <c r="A1" s="2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.75" hidden="false" customHeight="true" outlineLevel="0" collapsed="false">
      <c r="A3" s="6" t="s">
        <v>325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15.75" hidden="false" customHeight="true" outlineLevel="0" collapsed="false">
      <c r="A5" s="45" t="s">
        <v>326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customFormat="false" ht="18" hidden="false" customHeight="true" outlineLevel="0" collapsed="false">
      <c r="A6" s="9" t="s">
        <v>140</v>
      </c>
      <c r="B6" s="9" t="s">
        <v>210</v>
      </c>
      <c r="C6" s="9" t="s">
        <v>211</v>
      </c>
      <c r="D6" s="9" t="s">
        <v>212</v>
      </c>
      <c r="E6" s="9" t="s">
        <v>213</v>
      </c>
      <c r="F6" s="9" t="s">
        <v>214</v>
      </c>
      <c r="G6" s="9" t="s">
        <v>215</v>
      </c>
      <c r="H6" s="9" t="s">
        <v>216</v>
      </c>
      <c r="I6" s="9" t="s">
        <v>217</v>
      </c>
      <c r="J6" s="9" t="s">
        <v>218</v>
      </c>
      <c r="K6" s="9" t="s">
        <v>219</v>
      </c>
      <c r="L6" s="9" t="s">
        <v>220</v>
      </c>
      <c r="M6" s="9" t="s">
        <v>221</v>
      </c>
      <c r="N6" s="9" t="s">
        <v>207</v>
      </c>
    </row>
    <row r="7" customFormat="false" ht="15" hidden="false" customHeight="true" outlineLevel="0" collapsed="false">
      <c r="A7" s="10" t="s">
        <v>327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customFormat="false" ht="15" hidden="false" customHeight="true" outlineLevel="0" collapsed="false">
      <c r="A8" s="10" t="s">
        <v>328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customFormat="false" ht="15" hidden="false" customHeight="true" outlineLevel="0" collapsed="false">
      <c r="A9" s="17" t="s">
        <v>329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</row>
    <row r="10" customFormat="false" ht="15" hidden="false" customHeight="true" outlineLevel="0" collapsed="false">
      <c r="A10" s="10" t="s">
        <v>330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customFormat="false" ht="15" hidden="false" customHeight="true" outlineLevel="0" collapsed="false">
      <c r="A11" s="17" t="s">
        <v>87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</row>
    <row r="12" customFormat="false" ht="15" hidden="false" customHeight="true" outlineLevel="0" collapsed="false">
      <c r="A12" s="17" t="s">
        <v>308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4" customFormat="false" ht="15.75" hidden="false" customHeight="true" outlineLevel="0" collapsed="false">
      <c r="A14" s="48" t="s">
        <v>331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customFormat="false" ht="18" hidden="false" customHeight="true" outlineLevel="0" collapsed="false">
      <c r="A15" s="9" t="s">
        <v>140</v>
      </c>
      <c r="B15" s="9" t="s">
        <v>210</v>
      </c>
      <c r="C15" s="9" t="s">
        <v>211</v>
      </c>
      <c r="D15" s="9" t="s">
        <v>212</v>
      </c>
      <c r="E15" s="9" t="s">
        <v>213</v>
      </c>
      <c r="F15" s="9" t="s">
        <v>214</v>
      </c>
      <c r="G15" s="9" t="s">
        <v>215</v>
      </c>
      <c r="H15" s="9" t="s">
        <v>216</v>
      </c>
      <c r="I15" s="9" t="s">
        <v>217</v>
      </c>
      <c r="J15" s="9" t="s">
        <v>218</v>
      </c>
      <c r="K15" s="9" t="s">
        <v>219</v>
      </c>
      <c r="L15" s="9" t="s">
        <v>220</v>
      </c>
      <c r="M15" s="9" t="s">
        <v>221</v>
      </c>
      <c r="N15" s="9" t="s">
        <v>207</v>
      </c>
    </row>
    <row r="16" customFormat="false" ht="15" hidden="false" customHeight="true" outlineLevel="0" collapsed="false">
      <c r="A16" s="10" t="s">
        <v>327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customFormat="false" ht="15" hidden="false" customHeight="true" outlineLevel="0" collapsed="false">
      <c r="A17" s="10" t="s">
        <v>328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5" hidden="false" customHeight="true" outlineLevel="0" collapsed="false">
      <c r="A18" s="17" t="s">
        <v>329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customFormat="false" ht="15" hidden="false" customHeight="true" outlineLevel="0" collapsed="false">
      <c r="A19" s="10" t="s">
        <v>330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 customFormat="false" ht="15" hidden="false" customHeight="true" outlineLevel="0" collapsed="false">
      <c r="A20" s="17" t="s">
        <v>87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 customFormat="false" ht="15" hidden="false" customHeight="true" outlineLevel="0" collapsed="false">
      <c r="A21" s="17" t="s">
        <v>308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3" customFormat="false" ht="15.75" hidden="false" customHeight="true" outlineLevel="0" collapsed="false">
      <c r="A23" s="50" t="s">
        <v>332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customFormat="false" ht="18" hidden="false" customHeight="true" outlineLevel="0" collapsed="false">
      <c r="A24" s="9" t="s">
        <v>140</v>
      </c>
      <c r="B24" s="9" t="s">
        <v>210</v>
      </c>
      <c r="C24" s="9" t="s">
        <v>211</v>
      </c>
      <c r="D24" s="9" t="s">
        <v>212</v>
      </c>
      <c r="E24" s="9" t="s">
        <v>213</v>
      </c>
      <c r="F24" s="9" t="s">
        <v>214</v>
      </c>
      <c r="G24" s="9" t="s">
        <v>215</v>
      </c>
      <c r="H24" s="9" t="s">
        <v>216</v>
      </c>
      <c r="I24" s="9" t="s">
        <v>217</v>
      </c>
      <c r="J24" s="9" t="s">
        <v>218</v>
      </c>
      <c r="K24" s="9" t="s">
        <v>219</v>
      </c>
      <c r="L24" s="9" t="s">
        <v>220</v>
      </c>
      <c r="M24" s="9" t="s">
        <v>221</v>
      </c>
      <c r="N24" s="9" t="s">
        <v>207</v>
      </c>
    </row>
    <row r="25" customFormat="false" ht="15" hidden="false" customHeight="true" outlineLevel="0" collapsed="false">
      <c r="A25" s="10" t="s">
        <v>327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customFormat="false" ht="15" hidden="false" customHeight="true" outlineLevel="0" collapsed="false">
      <c r="A26" s="10" t="s">
        <v>328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customFormat="false" ht="15" hidden="false" customHeight="true" outlineLevel="0" collapsed="false">
      <c r="A27" s="17" t="s">
        <v>329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customFormat="false" ht="15" hidden="false" customHeight="true" outlineLevel="0" collapsed="false">
      <c r="A28" s="10" t="s">
        <v>330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customFormat="false" ht="15" hidden="false" customHeight="true" outlineLevel="0" collapsed="false">
      <c r="A29" s="17" t="s">
        <v>87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</row>
    <row r="30" customFormat="false" ht="15" hidden="false" customHeight="true" outlineLevel="0" collapsed="false">
      <c r="A30" s="17" t="s">
        <v>308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customFormat="false" ht="15" hidden="false" customHeight="true" outlineLevel="0" collapsed="false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customFormat="false" ht="15.75" hidden="false" customHeight="true" outlineLevel="0" collapsed="false">
      <c r="A32" s="52" t="s">
        <v>333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customFormat="false" ht="18" hidden="false" customHeight="true" outlineLevel="0" collapsed="false">
      <c r="A33" s="9" t="s">
        <v>140</v>
      </c>
      <c r="B33" s="9" t="s">
        <v>210</v>
      </c>
      <c r="C33" s="9" t="s">
        <v>211</v>
      </c>
      <c r="D33" s="9" t="s">
        <v>212</v>
      </c>
      <c r="E33" s="9" t="s">
        <v>213</v>
      </c>
      <c r="F33" s="9" t="s">
        <v>214</v>
      </c>
      <c r="G33" s="9" t="s">
        <v>215</v>
      </c>
      <c r="H33" s="9" t="s">
        <v>216</v>
      </c>
      <c r="I33" s="9" t="s">
        <v>217</v>
      </c>
      <c r="J33" s="9" t="s">
        <v>218</v>
      </c>
      <c r="K33" s="9" t="s">
        <v>219</v>
      </c>
      <c r="L33" s="9" t="s">
        <v>220</v>
      </c>
      <c r="M33" s="9" t="s">
        <v>221</v>
      </c>
      <c r="N33" s="9" t="s">
        <v>207</v>
      </c>
    </row>
    <row r="34" customFormat="false" ht="15" hidden="false" customHeight="true" outlineLevel="0" collapsed="false">
      <c r="A34" s="10" t="s">
        <v>327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customFormat="false" ht="15" hidden="false" customHeight="true" outlineLevel="0" collapsed="false">
      <c r="A35" s="10" t="s">
        <v>328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</row>
    <row r="36" customFormat="false" ht="15" hidden="false" customHeight="true" outlineLevel="0" collapsed="false">
      <c r="A36" s="17" t="s">
        <v>329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customFormat="false" ht="15" hidden="false" customHeight="true" outlineLevel="0" collapsed="false">
      <c r="A37" s="10" t="s">
        <v>330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 customFormat="false" ht="15" hidden="false" customHeight="true" outlineLevel="0" collapsed="false">
      <c r="A38" s="17" t="s">
        <v>87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customFormat="false" ht="15" hidden="false" customHeight="true" outlineLevel="0" collapsed="false">
      <c r="A39" s="17" t="s">
        <v>308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1" customFormat="false" ht="15.75" hidden="false" customHeight="true" outlineLevel="0" collapsed="false">
      <c r="A41" s="6" t="s">
        <v>334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customFormat="false" ht="18" hidden="false" customHeight="true" outlineLevel="0" collapsed="false">
      <c r="A42" s="9" t="s">
        <v>335</v>
      </c>
      <c r="B42" s="9" t="s">
        <v>336</v>
      </c>
      <c r="C42" s="9" t="s">
        <v>337</v>
      </c>
      <c r="D42" s="9" t="s">
        <v>338</v>
      </c>
      <c r="E42" s="9" t="s">
        <v>339</v>
      </c>
    </row>
    <row r="43" customFormat="false" ht="21.75" hidden="false" customHeight="true" outlineLevel="0" collapsed="false">
      <c r="A43" s="65" t="s">
        <v>340</v>
      </c>
      <c r="B43" s="37"/>
      <c r="C43" s="37"/>
      <c r="D43" s="37"/>
      <c r="E43" s="37"/>
    </row>
    <row r="44" customFormat="false" ht="21.75" hidden="false" customHeight="true" outlineLevel="0" collapsed="false">
      <c r="A44" s="65" t="s">
        <v>341</v>
      </c>
      <c r="B44" s="37"/>
      <c r="C44" s="37"/>
      <c r="D44" s="37"/>
      <c r="E44" s="37"/>
    </row>
    <row r="45" customFormat="false" ht="21.75" hidden="false" customHeight="true" outlineLevel="0" collapsed="false">
      <c r="A45" s="66" t="s">
        <v>342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</row>
  </sheetData>
  <mergeCells count="11">
    <mergeCell ref="A1:N1"/>
    <mergeCell ref="A2:N2"/>
    <mergeCell ref="A3:N3"/>
    <mergeCell ref="A5:N5"/>
    <mergeCell ref="A14:N14"/>
    <mergeCell ref="A17:N17"/>
    <mergeCell ref="A23:N23"/>
    <mergeCell ref="A31:N31"/>
    <mergeCell ref="A32:N32"/>
    <mergeCell ref="A41:N41"/>
    <mergeCell ref="A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2026-05-20T17:03:55Z</dcterms:created>
  <dc:creator>openpyxl</dc:creator>
  <dc:description/>
  <dc:language>en-US</dc:language>
  <cp:lastModifiedBy/>
  <dcterms:modified xsi:type="dcterms:W3CDTF">2026-05-30T12:25:09Z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